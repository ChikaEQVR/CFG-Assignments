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6856d6197919d5/Documents/Study/CFGDegree2026/CFG-Assignments/assignment_3/"/>
    </mc:Choice>
  </mc:AlternateContent>
  <xr:revisionPtr revIDLastSave="953" documentId="8_{AD4E5CA5-F3B0-4580-9897-F8662A2C56C8}" xr6:coauthVersionLast="47" xr6:coauthVersionMax="47" xr10:uidLastSave="{9D9F1D42-6815-4BA6-97F0-76484F0F10D7}"/>
  <bookViews>
    <workbookView xWindow="-108" yWindow="-108" windowWidth="23256" windowHeight="13896" activeTab="4" xr2:uid="{383E0D47-3FB6-416F-9E60-C8CC178F38DC}"/>
  </bookViews>
  <sheets>
    <sheet name="Main" sheetId="1" r:id="rId1"/>
    <sheet name="Main2" sheetId="5" r:id="rId2"/>
    <sheet name="recipe_table" sheetId="6" r:id="rId3"/>
    <sheet name="working_table" sheetId="3" r:id="rId4"/>
    <sheet name="Sheet5" sheetId="8" r:id="rId5"/>
    <sheet name="CSV" sheetId="4" r:id="rId6"/>
    <sheet name="Main (2)" sheetId="2" r:id="rId7"/>
  </sheets>
  <definedNames>
    <definedName name="_xlnm._FilterDatabase" localSheetId="3" hidden="1">working_table!$B$117:$F$200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9" i="3" l="1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118" i="3"/>
  <c r="L115" i="3"/>
  <c r="D110" i="3" s="1"/>
  <c r="L114" i="3"/>
  <c r="D108" i="3"/>
  <c r="L113" i="3"/>
  <c r="D87" i="3" s="1"/>
  <c r="L112" i="3"/>
  <c r="D86" i="3" s="1"/>
  <c r="L111" i="3"/>
  <c r="D77" i="3" s="1"/>
  <c r="L110" i="3"/>
  <c r="D59" i="3" s="1"/>
  <c r="L108" i="3"/>
  <c r="D66" i="3" s="1"/>
  <c r="L109" i="3"/>
  <c r="D105" i="3" s="1"/>
  <c r="L107" i="3"/>
  <c r="D44" i="3" s="1"/>
  <c r="L33" i="3"/>
  <c r="D94" i="3" s="1"/>
  <c r="L34" i="3"/>
  <c r="D46" i="3" s="1"/>
  <c r="L35" i="3"/>
  <c r="D67" i="3" s="1"/>
  <c r="L36" i="3"/>
  <c r="D32" i="3" s="1"/>
  <c r="L37" i="3"/>
  <c r="L38" i="3"/>
  <c r="D62" i="3" s="1"/>
  <c r="L39" i="3"/>
  <c r="D40" i="3" s="1"/>
  <c r="L40" i="3"/>
  <c r="D49" i="3" s="1"/>
  <c r="L41" i="3"/>
  <c r="D61" i="3" s="1"/>
  <c r="L42" i="3"/>
  <c r="D72" i="3" s="1"/>
  <c r="L43" i="3"/>
  <c r="D65" i="3" s="1"/>
  <c r="L44" i="3"/>
  <c r="D88" i="3" s="1"/>
  <c r="L45" i="3"/>
  <c r="D89" i="3" s="1"/>
  <c r="L46" i="3"/>
  <c r="D102" i="3" s="1"/>
  <c r="L47" i="3"/>
  <c r="D107" i="3" s="1"/>
  <c r="L48" i="3"/>
  <c r="D112" i="3" s="1"/>
  <c r="L49" i="3"/>
  <c r="L50" i="3"/>
  <c r="D109" i="3" s="1"/>
  <c r="L51" i="3"/>
  <c r="D106" i="3" s="1"/>
  <c r="L52" i="3"/>
  <c r="D43" i="3" s="1"/>
  <c r="L53" i="3"/>
  <c r="D73" i="3" s="1"/>
  <c r="L54" i="3"/>
  <c r="D51" i="3" s="1"/>
  <c r="L55" i="3"/>
  <c r="D90" i="3" s="1"/>
  <c r="L56" i="3"/>
  <c r="D58" i="3" s="1"/>
  <c r="L57" i="3"/>
  <c r="D85" i="3" s="1"/>
  <c r="L58" i="3"/>
  <c r="D52" i="3" s="1"/>
  <c r="L59" i="3"/>
  <c r="D74" i="3" s="1"/>
  <c r="L60" i="3"/>
  <c r="D80" i="3" s="1"/>
  <c r="L61" i="3"/>
  <c r="D81" i="3" s="1"/>
  <c r="L62" i="3"/>
  <c r="D53" i="3" s="1"/>
  <c r="L63" i="3"/>
  <c r="D98" i="3" s="1"/>
  <c r="L64" i="3"/>
  <c r="D56" i="3" s="1"/>
  <c r="L65" i="3"/>
  <c r="D70" i="3" s="1"/>
  <c r="L66" i="3"/>
  <c r="D113" i="3" s="1"/>
  <c r="L67" i="3"/>
  <c r="D71" i="3" s="1"/>
  <c r="L68" i="3"/>
  <c r="D76" i="3" s="1"/>
  <c r="L69" i="3"/>
  <c r="D84" i="3" s="1"/>
  <c r="L70" i="3"/>
  <c r="D34" i="3" s="1"/>
  <c r="L71" i="3"/>
  <c r="D55" i="3" s="1"/>
  <c r="L72" i="3"/>
  <c r="D68" i="3" s="1"/>
  <c r="L73" i="3"/>
  <c r="D69" i="3" s="1"/>
  <c r="L74" i="3"/>
  <c r="D99" i="3" s="1"/>
  <c r="L75" i="3"/>
  <c r="D100" i="3" s="1"/>
  <c r="L76" i="3"/>
  <c r="D101" i="3" s="1"/>
  <c r="L77" i="3"/>
  <c r="D63" i="3" s="1"/>
  <c r="L78" i="3"/>
  <c r="D35" i="3" s="1"/>
  <c r="L79" i="3"/>
  <c r="D45" i="3" s="1"/>
  <c r="L80" i="3"/>
  <c r="D47" i="3" s="1"/>
  <c r="L81" i="3"/>
  <c r="D48" i="3" s="1"/>
  <c r="L82" i="3"/>
  <c r="D64" i="3" s="1"/>
  <c r="L83" i="3"/>
  <c r="D82" i="3" s="1"/>
  <c r="L84" i="3"/>
  <c r="D103" i="3" s="1"/>
  <c r="L85" i="3"/>
  <c r="D104" i="3" s="1"/>
  <c r="L86" i="3"/>
  <c r="D39" i="3" s="1"/>
  <c r="L87" i="3"/>
  <c r="D36" i="3" s="1"/>
  <c r="L88" i="3"/>
  <c r="D37" i="3" s="1"/>
  <c r="L89" i="3"/>
  <c r="D38" i="3" s="1"/>
  <c r="L90" i="3"/>
  <c r="D50" i="3" s="1"/>
  <c r="L91" i="3"/>
  <c r="D60" i="3" s="1"/>
  <c r="L92" i="3"/>
  <c r="D41" i="3" s="1"/>
  <c r="L93" i="3"/>
  <c r="D97" i="3" s="1"/>
  <c r="L94" i="3"/>
  <c r="D91" i="3" s="1"/>
  <c r="L95" i="3"/>
  <c r="D92" i="3" s="1"/>
  <c r="L96" i="3"/>
  <c r="D93" i="3" s="1"/>
  <c r="L97" i="3"/>
  <c r="D96" i="3" s="1"/>
  <c r="L98" i="3"/>
  <c r="D83" i="3" s="1"/>
  <c r="L99" i="3"/>
  <c r="D75" i="3" s="1"/>
  <c r="L100" i="3"/>
  <c r="D79" i="3" s="1"/>
  <c r="L101" i="3"/>
  <c r="D78" i="3" s="1"/>
  <c r="L102" i="3"/>
  <c r="D95" i="3" s="1"/>
  <c r="L103" i="3"/>
  <c r="D111" i="3" s="1"/>
  <c r="L104" i="3"/>
  <c r="D57" i="3" s="1"/>
  <c r="L105" i="3"/>
  <c r="D54" i="3" s="1"/>
  <c r="L106" i="3"/>
  <c r="D114" i="3" s="1"/>
  <c r="L32" i="3"/>
  <c r="D42" i="3" s="1"/>
  <c r="C32" i="3" a="1"/>
  <c r="C32" i="3" s="1"/>
  <c r="E32" i="3" s="1"/>
  <c r="E114" i="3" l="1"/>
  <c r="E83" i="3"/>
  <c r="E110" i="3"/>
  <c r="E102" i="3"/>
  <c r="E94" i="3"/>
  <c r="E79" i="3"/>
  <c r="E71" i="3"/>
  <c r="E63" i="3"/>
  <c r="E55" i="3"/>
  <c r="E48" i="3"/>
  <c r="E40" i="3"/>
  <c r="E92" i="3"/>
  <c r="E85" i="3"/>
  <c r="E77" i="3"/>
  <c r="E61" i="3"/>
  <c r="E53" i="3"/>
  <c r="E46" i="3"/>
  <c r="E38" i="3"/>
  <c r="E109" i="3"/>
  <c r="E101" i="3"/>
  <c r="E93" i="3"/>
  <c r="E86" i="3"/>
  <c r="E78" i="3"/>
  <c r="E70" i="3"/>
  <c r="E62" i="3"/>
  <c r="E54" i="3"/>
  <c r="E47" i="3"/>
  <c r="E39" i="3"/>
  <c r="E108" i="3"/>
  <c r="E100" i="3"/>
  <c r="E69" i="3"/>
  <c r="E107" i="3"/>
  <c r="E91" i="3"/>
  <c r="E76" i="3"/>
  <c r="E60" i="3"/>
  <c r="E45" i="3"/>
  <c r="E98" i="3"/>
  <c r="E75" i="3"/>
  <c r="E67" i="3"/>
  <c r="E44" i="3"/>
  <c r="E113" i="3"/>
  <c r="E97" i="3"/>
  <c r="E82" i="3"/>
  <c r="E66" i="3"/>
  <c r="E51" i="3"/>
  <c r="E35" i="3"/>
  <c r="E112" i="3"/>
  <c r="E104" i="3"/>
  <c r="E96" i="3"/>
  <c r="E88" i="3"/>
  <c r="E81" i="3"/>
  <c r="E73" i="3"/>
  <c r="E65" i="3"/>
  <c r="E57" i="3"/>
  <c r="E50" i="3"/>
  <c r="E42" i="3"/>
  <c r="E34" i="3"/>
  <c r="E99" i="3"/>
  <c r="E84" i="3"/>
  <c r="E68" i="3"/>
  <c r="E52" i="3"/>
  <c r="E37" i="3"/>
  <c r="E106" i="3"/>
  <c r="E90" i="3"/>
  <c r="E59" i="3"/>
  <c r="E36" i="3"/>
  <c r="E105" i="3"/>
  <c r="E89" i="3"/>
  <c r="E74" i="3"/>
  <c r="E58" i="3"/>
  <c r="E43" i="3"/>
  <c r="E111" i="3"/>
  <c r="E103" i="3"/>
  <c r="E95" i="3"/>
  <c r="E87" i="3"/>
  <c r="E80" i="3"/>
  <c r="E72" i="3"/>
  <c r="E64" i="3"/>
  <c r="E56" i="3"/>
  <c r="E49" i="3"/>
  <c r="E41" i="3"/>
  <c r="E33" i="3"/>
  <c r="D3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<sst xmlns="http://schemas.openxmlformats.org/spreadsheetml/2006/main" count="2701" uniqueCount="592">
  <si>
    <t>Recipe DB</t>
  </si>
  <si>
    <t>recipes</t>
  </si>
  <si>
    <t>chef</t>
  </si>
  <si>
    <t>ingrediants</t>
  </si>
  <si>
    <t>prep_time</t>
  </si>
  <si>
    <t>serving</t>
  </si>
  <si>
    <t>book_title</t>
  </si>
  <si>
    <t>Berbere spiced chicken</t>
  </si>
  <si>
    <t>Yotam Ottolenghi</t>
  </si>
  <si>
    <t>quantity</t>
  </si>
  <si>
    <t>cooking_time</t>
  </si>
  <si>
    <t>onion</t>
  </si>
  <si>
    <t>25 mins</t>
  </si>
  <si>
    <t>1h 25mins</t>
  </si>
  <si>
    <t>4 to 6</t>
  </si>
  <si>
    <t>Ottolenghi Test Kitchen</t>
  </si>
  <si>
    <t>garlic clove</t>
  </si>
  <si>
    <t>fresh coriandar</t>
  </si>
  <si>
    <t>berbere spice</t>
  </si>
  <si>
    <t>tomato paste</t>
  </si>
  <si>
    <t>g</t>
  </si>
  <si>
    <t>tbsp</t>
  </si>
  <si>
    <t>honey</t>
  </si>
  <si>
    <t>apple cider vinegar</t>
  </si>
  <si>
    <t>olive oil</t>
  </si>
  <si>
    <t>ml</t>
  </si>
  <si>
    <t>carrots</t>
  </si>
  <si>
    <t>tins</t>
  </si>
  <si>
    <t>chicken thigh</t>
  </si>
  <si>
    <t>oranges</t>
  </si>
  <si>
    <t>salt</t>
  </si>
  <si>
    <t>black pepper</t>
  </si>
  <si>
    <t>Za'atar salmon</t>
  </si>
  <si>
    <t>salmon fillet</t>
  </si>
  <si>
    <t>za'atar</t>
  </si>
  <si>
    <t>sumac</t>
  </si>
  <si>
    <t>tsp</t>
  </si>
  <si>
    <t>baby spinach</t>
  </si>
  <si>
    <t>tahini</t>
  </si>
  <si>
    <t>lemon juice</t>
  </si>
  <si>
    <t>coriander</t>
  </si>
  <si>
    <t>5 mins</t>
  </si>
  <si>
    <t>20 mins</t>
  </si>
  <si>
    <t>unit</t>
  </si>
  <si>
    <t>Baked mint rice</t>
  </si>
  <si>
    <t>basmati rice</t>
  </si>
  <si>
    <t>unsalted butter</t>
  </si>
  <si>
    <t>boiling water</t>
  </si>
  <si>
    <t>mint</t>
  </si>
  <si>
    <t>feta</t>
  </si>
  <si>
    <t>pitted green olives</t>
  </si>
  <si>
    <t>pomegranate seeds</t>
  </si>
  <si>
    <t>walnut</t>
  </si>
  <si>
    <t>pomegranate molasses</t>
  </si>
  <si>
    <t>5mins</t>
  </si>
  <si>
    <t>25mins</t>
  </si>
  <si>
    <t>Ottolenghi SIMPLE</t>
  </si>
  <si>
    <t>Baked rice with tomato and galic</t>
  </si>
  <si>
    <t>shallots</t>
  </si>
  <si>
    <t>thyme</t>
  </si>
  <si>
    <t>cinnamon stick</t>
  </si>
  <si>
    <t>1h  45mins</t>
  </si>
  <si>
    <t>TV chips</t>
  </si>
  <si>
    <t>kg</t>
  </si>
  <si>
    <t>flaked salt</t>
  </si>
  <si>
    <t>tinned chickpeas</t>
  </si>
  <si>
    <t>tinned tuna</t>
  </si>
  <si>
    <t>chives</t>
  </si>
  <si>
    <t>basil</t>
  </si>
  <si>
    <t>1/2</t>
  </si>
  <si>
    <t>double cream</t>
  </si>
  <si>
    <t>Parmesan</t>
  </si>
  <si>
    <t>tomato</t>
  </si>
  <si>
    <t>potato</t>
  </si>
  <si>
    <t>cherry tomato</t>
  </si>
  <si>
    <t>10mins</t>
  </si>
  <si>
    <t>40mins</t>
  </si>
  <si>
    <t>55 mins</t>
  </si>
  <si>
    <t>Ixta Belfrage</t>
  </si>
  <si>
    <t>MEZCLA</t>
  </si>
  <si>
    <t>Course</t>
  </si>
  <si>
    <t>Main</t>
  </si>
  <si>
    <t>Main / Side</t>
  </si>
  <si>
    <t>Portokalopita</t>
  </si>
  <si>
    <t>orange</t>
  </si>
  <si>
    <t>filo</t>
  </si>
  <si>
    <t>caster sugar</t>
  </si>
  <si>
    <t>Greek yoghurt</t>
  </si>
  <si>
    <t>egg</t>
  </si>
  <si>
    <t>baking powder</t>
  </si>
  <si>
    <t>1h</t>
  </si>
  <si>
    <t>1h 30mins</t>
  </si>
  <si>
    <t>1h 20mins</t>
  </si>
  <si>
    <t>Georgina Hayden</t>
  </si>
  <si>
    <t>Taverna</t>
  </si>
  <si>
    <t>Dessert</t>
  </si>
  <si>
    <t>wholemeal spelt flour</t>
  </si>
  <si>
    <t>plain flour</t>
  </si>
  <si>
    <t>ground cinnamon</t>
  </si>
  <si>
    <t>vanilla extract</t>
  </si>
  <si>
    <t>maple syrup</t>
  </si>
  <si>
    <t>milk</t>
  </si>
  <si>
    <t>frozen blueberry</t>
  </si>
  <si>
    <t>10 mins</t>
  </si>
  <si>
    <t>30 mins</t>
  </si>
  <si>
    <t>Donna Hay</t>
  </si>
  <si>
    <t>Basics To Brilliance Kids</t>
  </si>
  <si>
    <t>Roasted aubergine</t>
  </si>
  <si>
    <t>Blueberry muffins</t>
  </si>
  <si>
    <t>ginger</t>
  </si>
  <si>
    <t>galic clove</t>
  </si>
  <si>
    <t>green chilli</t>
  </si>
  <si>
    <t>aubergine</t>
  </si>
  <si>
    <t>spring onion</t>
  </si>
  <si>
    <t>lime</t>
  </si>
  <si>
    <t>tamarind paste</t>
  </si>
  <si>
    <t>miso</t>
  </si>
  <si>
    <t>Stirring Slowly</t>
  </si>
  <si>
    <t>15mins</t>
  </si>
  <si>
    <t>Roast pork</t>
  </si>
  <si>
    <t>Dijion mustard</t>
  </si>
  <si>
    <t>pork joint</t>
  </si>
  <si>
    <t>chicken stock</t>
  </si>
  <si>
    <t>balsamic vinegar</t>
  </si>
  <si>
    <t>tinned butter beans</t>
  </si>
  <si>
    <t>butter</t>
  </si>
  <si>
    <t>parsley</t>
  </si>
  <si>
    <t>oregano</t>
  </si>
  <si>
    <t>dill</t>
  </si>
  <si>
    <t>James Martin</t>
  </si>
  <si>
    <t>James Every Day</t>
  </si>
  <si>
    <t>2h</t>
  </si>
  <si>
    <t>Baked Fennel</t>
  </si>
  <si>
    <t>fennel bulb</t>
  </si>
  <si>
    <t>fennel seeds</t>
  </si>
  <si>
    <t>chilli flake</t>
  </si>
  <si>
    <t>salt flake</t>
  </si>
  <si>
    <t>6 to 8</t>
  </si>
  <si>
    <t>Diana Henry</t>
  </si>
  <si>
    <t>From The Oven To The Table</t>
  </si>
  <si>
    <t>Side</t>
  </si>
  <si>
    <t>Wild mushroom &amp; walnut soup</t>
  </si>
  <si>
    <t>dried mushroom</t>
  </si>
  <si>
    <t>mushroom</t>
  </si>
  <si>
    <t xml:space="preserve">celery </t>
  </si>
  <si>
    <t>leek</t>
  </si>
  <si>
    <t>bay leaves</t>
  </si>
  <si>
    <t>vegetable stock</t>
  </si>
  <si>
    <t>l</t>
  </si>
  <si>
    <t>small mushroom</t>
  </si>
  <si>
    <t>single cream</t>
  </si>
  <si>
    <t>dry sherry</t>
  </si>
  <si>
    <t>1h 45mins</t>
  </si>
  <si>
    <t>Delia Smith</t>
  </si>
  <si>
    <t>Delia's Happy Christmas</t>
  </si>
  <si>
    <t>Main/Starter</t>
  </si>
  <si>
    <t>book_id</t>
  </si>
  <si>
    <t>chef_id</t>
  </si>
  <si>
    <t>first_name</t>
  </si>
  <si>
    <t>last_name</t>
  </si>
  <si>
    <t xml:space="preserve">Yotam </t>
  </si>
  <si>
    <t>Ottolenghi</t>
  </si>
  <si>
    <t xml:space="preserve">Ixta </t>
  </si>
  <si>
    <t>Belfrage</t>
  </si>
  <si>
    <t xml:space="preserve">Georgina </t>
  </si>
  <si>
    <t>Hayden</t>
  </si>
  <si>
    <t xml:space="preserve">Donna </t>
  </si>
  <si>
    <t>Hay</t>
  </si>
  <si>
    <t xml:space="preserve">James </t>
  </si>
  <si>
    <t>Martin</t>
  </si>
  <si>
    <t xml:space="preserve">Diana </t>
  </si>
  <si>
    <t>Henry</t>
  </si>
  <si>
    <t xml:space="preserve">Delia </t>
  </si>
  <si>
    <t>Smith</t>
  </si>
  <si>
    <t>ingredeiants_id</t>
  </si>
  <si>
    <t>ingrediants_name</t>
  </si>
  <si>
    <t xml:space="preserve"> </t>
  </si>
  <si>
    <t>pubilsed date</t>
  </si>
  <si>
    <t>Meat</t>
  </si>
  <si>
    <t>Seafood</t>
  </si>
  <si>
    <t>Vegetables</t>
  </si>
  <si>
    <t>Fruits</t>
  </si>
  <si>
    <t>Grains</t>
  </si>
  <si>
    <t>Dairy</t>
  </si>
  <si>
    <t>Herbs</t>
  </si>
  <si>
    <t>Spices</t>
  </si>
  <si>
    <t>Oils &amp; Fats</t>
  </si>
  <si>
    <t>Condiments</t>
  </si>
  <si>
    <t>celery</t>
  </si>
  <si>
    <t>Dijon mustard</t>
  </si>
  <si>
    <t>Seasoning</t>
  </si>
  <si>
    <t>Nuts &amp; Seeds</t>
  </si>
  <si>
    <t>Others</t>
  </si>
  <si>
    <t>'onion'</t>
  </si>
  <si>
    <t>'garlic clove'</t>
  </si>
  <si>
    <t>'coriander'</t>
  </si>
  <si>
    <t>'berbere spice'</t>
  </si>
  <si>
    <t>'tomato paste'</t>
  </si>
  <si>
    <t>'honey'</t>
  </si>
  <si>
    <t>'apple cider vinegar'</t>
  </si>
  <si>
    <t>'olive oil'</t>
  </si>
  <si>
    <t>'carrots'</t>
  </si>
  <si>
    <t>'tinned chickpeas'</t>
  </si>
  <si>
    <t>'chicken thigh'</t>
  </si>
  <si>
    <t>'oranges'</t>
  </si>
  <si>
    <t>'salt'</t>
  </si>
  <si>
    <t>'black pepper'</t>
  </si>
  <si>
    <t>'salmon fillet'</t>
  </si>
  <si>
    <t>'za''atar'</t>
  </si>
  <si>
    <t>'sumac'</t>
  </si>
  <si>
    <t>'baby spinach'</t>
  </si>
  <si>
    <t>'tahini'</t>
  </si>
  <si>
    <t>'lemon juice'</t>
  </si>
  <si>
    <t>'basmati rice'</t>
  </si>
  <si>
    <t>'unsalted butter'</t>
  </si>
  <si>
    <t>'boiling water'</t>
  </si>
  <si>
    <t>'mint'</t>
  </si>
  <si>
    <t>'feta'</t>
  </si>
  <si>
    <t>'pitted green olives'</t>
  </si>
  <si>
    <t>'pomegranate seeds'</t>
  </si>
  <si>
    <t>'walnut'</t>
  </si>
  <si>
    <t>'pomegranate molasses'</t>
  </si>
  <si>
    <t>'cherry tomato'</t>
  </si>
  <si>
    <t>'shallots'</t>
  </si>
  <si>
    <t>'thyme'</t>
  </si>
  <si>
    <t>'cinnamon stick'</t>
  </si>
  <si>
    <t>'potato'</t>
  </si>
  <si>
    <t>'flaked salt'</t>
  </si>
  <si>
    <t>'tinned tuna'</t>
  </si>
  <si>
    <t>'chives'</t>
  </si>
  <si>
    <t>'basil'</t>
  </si>
  <si>
    <t>'double cream'</t>
  </si>
  <si>
    <t>'Parmesan'</t>
  </si>
  <si>
    <t>'tomato'</t>
  </si>
  <si>
    <t>'orange'</t>
  </si>
  <si>
    <t>'filo'</t>
  </si>
  <si>
    <t>'caster sugar'</t>
  </si>
  <si>
    <t>'Greek yoghurt'</t>
  </si>
  <si>
    <t>'egg'</t>
  </si>
  <si>
    <t>'baking powder'</t>
  </si>
  <si>
    <t>'vanilla extract'</t>
  </si>
  <si>
    <t>'wholemeal spelt flour'</t>
  </si>
  <si>
    <t>'plain flour'</t>
  </si>
  <si>
    <t>'ground cinnamon'</t>
  </si>
  <si>
    <t>'maple syrup'</t>
  </si>
  <si>
    <t>'milk'</t>
  </si>
  <si>
    <t>'frozen blueberry'</t>
  </si>
  <si>
    <t>'ginger'</t>
  </si>
  <si>
    <t>'green chilli'</t>
  </si>
  <si>
    <t>'aubergine'</t>
  </si>
  <si>
    <t>'spring onion'</t>
  </si>
  <si>
    <t>'lime'</t>
  </si>
  <si>
    <t>'tamarind paste'</t>
  </si>
  <si>
    <t>'miso'</t>
  </si>
  <si>
    <t>'Dijon mustard'</t>
  </si>
  <si>
    <t>'pork joint'</t>
  </si>
  <si>
    <t>'chicken stock'</t>
  </si>
  <si>
    <t>'balsamic vinegar'</t>
  </si>
  <si>
    <t>'tinned butter beans'</t>
  </si>
  <si>
    <t>'butter'</t>
  </si>
  <si>
    <t>'parsley'</t>
  </si>
  <si>
    <t>'oregano'</t>
  </si>
  <si>
    <t>'dill'</t>
  </si>
  <si>
    <t>'fennel bulb'</t>
  </si>
  <si>
    <t>'fennel seeds'</t>
  </si>
  <si>
    <t>'chilli flake'</t>
  </si>
  <si>
    <t>'salt flake'</t>
  </si>
  <si>
    <t>'dried mushroom'</t>
  </si>
  <si>
    <t>'mushroom'</t>
  </si>
  <si>
    <t>'celery'</t>
  </si>
  <si>
    <t>'leek'</t>
  </si>
  <si>
    <t>'bay leaves'</t>
  </si>
  <si>
    <t>'vegetable stock'</t>
  </si>
  <si>
    <t>'small mushroom'</t>
  </si>
  <si>
    <t>'single cream'</t>
  </si>
  <si>
    <t>'dry sherry'</t>
  </si>
  <si>
    <t>ingredients types</t>
  </si>
  <si>
    <t>book_title, first_name, last_name, published_date</t>
  </si>
  <si>
    <t>Ottolenghi Test Kitchen Shelf Love, Yotam, Ottolenghi, 2021-10-14</t>
  </si>
  <si>
    <t>Ottolenghi SIMPLE, Yotam, Ottolenghi, 2018-10-04</t>
  </si>
  <si>
    <t>MEZCLA, Ixta, Belfrage, 2022-07-14</t>
  </si>
  <si>
    <t>Taverna, Georgina, Hayden, 2023-06-22</t>
  </si>
  <si>
    <t>Basics To Brilliance Kids, Donna, Hay, 2018-10-18</t>
  </si>
  <si>
    <t>Stirring Slowly, Georgina, Hayden, 2023-03-02</t>
  </si>
  <si>
    <t>James Every Day, James, Martin, 2017-09-07</t>
  </si>
  <si>
    <t>From The Oven To The Table, Diana, Henry, 2019-09-05</t>
  </si>
  <si>
    <t>Delia's Happy Christmas, Delia, Smith, 2009-10-01</t>
  </si>
  <si>
    <t>Ottolenghi Test Kitchen Shelf Love</t>
  </si>
  <si>
    <t>ingredients_id</t>
  </si>
  <si>
    <t xml:space="preserve"> each</t>
  </si>
  <si>
    <t xml:space="preserve"> clove</t>
  </si>
  <si>
    <t xml:space="preserve"> bunch</t>
  </si>
  <si>
    <t xml:space="preserve"> tsp</t>
  </si>
  <si>
    <t xml:space="preserve"> tbsp</t>
  </si>
  <si>
    <t xml:space="preserve"> tin</t>
  </si>
  <si>
    <t xml:space="preserve"> g</t>
  </si>
  <si>
    <t xml:space="preserve"> ml</t>
  </si>
  <si>
    <t>unit2</t>
  </si>
  <si>
    <t>unit_id</t>
  </si>
  <si>
    <t>each</t>
  </si>
  <si>
    <t>tin</t>
  </si>
  <si>
    <t>clove</t>
  </si>
  <si>
    <t>piece</t>
  </si>
  <si>
    <t>bunch</t>
  </si>
  <si>
    <t>cooking date</t>
  </si>
  <si>
    <t>cookbook_id</t>
  </si>
  <si>
    <t>recipe-name</t>
  </si>
  <si>
    <t>Zaatar salmon</t>
  </si>
  <si>
    <t>Baked rice with tomato and garlic</t>
  </si>
  <si>
    <t>total q'ty</t>
  </si>
  <si>
    <t>zaatar</t>
  </si>
  <si>
    <t>ingredients</t>
  </si>
  <si>
    <t>q'ty</t>
  </si>
  <si>
    <t>ingredients_category</t>
  </si>
  <si>
    <t>1	onion</t>
  </si>
  <si>
    <t>2	garlic</t>
  </si>
  <si>
    <t>3	coriander</t>
  </si>
  <si>
    <t>4	berbere</t>
  </si>
  <si>
    <t>spice</t>
  </si>
  <si>
    <t>5	tomato</t>
  </si>
  <si>
    <t>paste</t>
  </si>
  <si>
    <t>6	honey</t>
  </si>
  <si>
    <t>7	apple</t>
  </si>
  <si>
    <t>cider</t>
  </si>
  <si>
    <t>vinegar</t>
  </si>
  <si>
    <t>8	olive</t>
  </si>
  <si>
    <t>oil</t>
  </si>
  <si>
    <t>9	carrots</t>
  </si>
  <si>
    <t>10	tinned</t>
  </si>
  <si>
    <t>chickpeas</t>
  </si>
  <si>
    <t>11	chicken</t>
  </si>
  <si>
    <t>thigh</t>
  </si>
  <si>
    <t>12	oranges</t>
  </si>
  <si>
    <t>13	salt</t>
  </si>
  <si>
    <t>14	black</t>
  </si>
  <si>
    <t>pepper</t>
  </si>
  <si>
    <t>15	salmon</t>
  </si>
  <si>
    <t>fillet</t>
  </si>
  <si>
    <t>16	zaatar</t>
  </si>
  <si>
    <t>17	sumac</t>
  </si>
  <si>
    <t>18	baby</t>
  </si>
  <si>
    <t>spinach</t>
  </si>
  <si>
    <t>19	tahini</t>
  </si>
  <si>
    <t>20	lemon</t>
  </si>
  <si>
    <t>juice</t>
  </si>
  <si>
    <t>21	basmati</t>
  </si>
  <si>
    <t>rice</t>
  </si>
  <si>
    <t>22	unsalted</t>
  </si>
  <si>
    <t>23	boiling</t>
  </si>
  <si>
    <t>water</t>
  </si>
  <si>
    <t>24	mint</t>
  </si>
  <si>
    <t>25	feta</t>
  </si>
  <si>
    <t>26	pitted</t>
  </si>
  <si>
    <t>green</t>
  </si>
  <si>
    <t>olives</t>
  </si>
  <si>
    <t>27	pomegranate</t>
  </si>
  <si>
    <t>seeds</t>
  </si>
  <si>
    <t>28	walnut</t>
  </si>
  <si>
    <t>29	pomegranate</t>
  </si>
  <si>
    <t>molasses</t>
  </si>
  <si>
    <t>30	cherry</t>
  </si>
  <si>
    <t>31	shallots</t>
  </si>
  <si>
    <t>32	thyme</t>
  </si>
  <si>
    <t>33	cinnamon</t>
  </si>
  <si>
    <t>stick</t>
  </si>
  <si>
    <t>34	potato</t>
  </si>
  <si>
    <t>35	flaked</t>
  </si>
  <si>
    <t>36	tinned</t>
  </si>
  <si>
    <t>tuna</t>
  </si>
  <si>
    <t>37	chives</t>
  </si>
  <si>
    <t>38	basil</t>
  </si>
  <si>
    <t>39	double</t>
  </si>
  <si>
    <t>cream</t>
  </si>
  <si>
    <t>40	Parmesan</t>
  </si>
  <si>
    <t>41	tomato</t>
  </si>
  <si>
    <t>42	orange</t>
  </si>
  <si>
    <t>43	filo</t>
  </si>
  <si>
    <t>44	caster</t>
  </si>
  <si>
    <t>sugar</t>
  </si>
  <si>
    <t>45	Greek</t>
  </si>
  <si>
    <t>yoghurt</t>
  </si>
  <si>
    <t>46	egg</t>
  </si>
  <si>
    <t>47	baking</t>
  </si>
  <si>
    <t>powder</t>
  </si>
  <si>
    <t>48	vanilla</t>
  </si>
  <si>
    <t>extract</t>
  </si>
  <si>
    <t>49	wholemeal</t>
  </si>
  <si>
    <t>spelt</t>
  </si>
  <si>
    <t>flour</t>
  </si>
  <si>
    <t>50	plain</t>
  </si>
  <si>
    <t>51	ground</t>
  </si>
  <si>
    <t>cinnamon</t>
  </si>
  <si>
    <t>52	maple</t>
  </si>
  <si>
    <t>syrup</t>
  </si>
  <si>
    <t>53	milk</t>
  </si>
  <si>
    <t>54	frozen</t>
  </si>
  <si>
    <t>blueberry</t>
  </si>
  <si>
    <t>55	ginger</t>
  </si>
  <si>
    <t>56	green</t>
  </si>
  <si>
    <t>chilli</t>
  </si>
  <si>
    <t>57	aubergine</t>
  </si>
  <si>
    <t>58	spring</t>
  </si>
  <si>
    <t>59	lime</t>
  </si>
  <si>
    <t>60	tamarind</t>
  </si>
  <si>
    <t>61	miso</t>
  </si>
  <si>
    <t>62	Dijon</t>
  </si>
  <si>
    <t>mustard</t>
  </si>
  <si>
    <t>63	pork</t>
  </si>
  <si>
    <t>joint</t>
  </si>
  <si>
    <t>64	chicken</t>
  </si>
  <si>
    <t>stock</t>
  </si>
  <si>
    <t>65	balsamic</t>
  </si>
  <si>
    <t>66	tinned</t>
  </si>
  <si>
    <t>beans</t>
  </si>
  <si>
    <t>67	butter</t>
  </si>
  <si>
    <t>68	parsley</t>
  </si>
  <si>
    <t>69	oregano</t>
  </si>
  <si>
    <t>70	dill</t>
  </si>
  <si>
    <t>71	fennel</t>
  </si>
  <si>
    <t>bulb</t>
  </si>
  <si>
    <t>72	fennel</t>
  </si>
  <si>
    <t>73	chilli</t>
  </si>
  <si>
    <t>flake</t>
  </si>
  <si>
    <t>74	salt</t>
  </si>
  <si>
    <t>75	dried</t>
  </si>
  <si>
    <t>76	mushroom</t>
  </si>
  <si>
    <t>77	celery</t>
  </si>
  <si>
    <t>78	leek</t>
  </si>
  <si>
    <t>79	bay</t>
  </si>
  <si>
    <t>leaves</t>
  </si>
  <si>
    <t>80	vegetable</t>
  </si>
  <si>
    <t>81	small</t>
  </si>
  <si>
    <t>82	single</t>
  </si>
  <si>
    <t>83	dry</t>
  </si>
  <si>
    <t>sherry</t>
  </si>
  <si>
    <t>(10,1,10, 1),</t>
  </si>
  <si>
    <t>(11,10,7, 1),</t>
  </si>
  <si>
    <t>(12,3,7, 1),</t>
  </si>
  <si>
    <t>(13,1.5,5, 1),</t>
  </si>
  <si>
    <t>(14,1,5, 1),</t>
  </si>
  <si>
    <t>(15,4,7, 1),</t>
  </si>
  <si>
    <t>(16,2,5, 1),</t>
  </si>
  <si>
    <t>(17,1.5,5, 1),</t>
  </si>
  <si>
    <t>(18,250,1, 1),</t>
  </si>
  <si>
    <t>(19,4,6, 1),</t>
  </si>
  <si>
    <t>(20,3,6, 1),</t>
  </si>
  <si>
    <t>(21,300,1, 1),</t>
  </si>
  <si>
    <t>(22,75,1, 1),</t>
  </si>
  <si>
    <t>(23,500,3, 1),</t>
  </si>
  <si>
    <t>(24,30,1, 1),</t>
  </si>
  <si>
    <t>(25,200,1, 1),</t>
  </si>
  <si>
    <t>(26,15,7, 1),</t>
  </si>
  <si>
    <t>(27,80,1, 1),</t>
  </si>
  <si>
    <t>(28,100,1, 1),</t>
  </si>
  <si>
    <t>(29,2,6, 1),</t>
  </si>
  <si>
    <t>(30,12,7, 1),</t>
  </si>
  <si>
    <t>(31,4,7, 1),</t>
  </si>
  <si>
    <t>(32,2,5, 1),</t>
  </si>
  <si>
    <t>(33,2,7, 1),</t>
  </si>
  <si>
    <t>(34,4,7, 1),</t>
  </si>
  <si>
    <t>(35,1,5, 1),</t>
  </si>
  <si>
    <t>(36,200,1, 1),</t>
  </si>
  <si>
    <t>(37,1,11, 1),</t>
  </si>
  <si>
    <t>(38,50,1, 1),</t>
  </si>
  <si>
    <t>(39,200,3, 1),</t>
  </si>
  <si>
    <t>(40,80,1, 1),</t>
  </si>
  <si>
    <t>(41,6,7, 1),</t>
  </si>
  <si>
    <t>(42,4,7, 1),</t>
  </si>
  <si>
    <t>(43,500,1, 1),</t>
  </si>
  <si>
    <t>(44,1,2, 1),</t>
  </si>
  <si>
    <t>(45,250,1, 1),</t>
  </si>
  <si>
    <t>(46,6,7, 1),</t>
  </si>
  <si>
    <t>(47,2,5, 1),</t>
  </si>
  <si>
    <t>(48,1,5, 1),</t>
  </si>
  <si>
    <t>(49,200,1, 1),</t>
  </si>
  <si>
    <t>(50,300,1, 1),</t>
  </si>
  <si>
    <t>(51,1.5,5, 1),</t>
  </si>
  <si>
    <t>(52,2,6, 1),</t>
  </si>
  <si>
    <t>(53,300,3, 1),</t>
  </si>
  <si>
    <t>(54,150,1, 1),</t>
  </si>
  <si>
    <t>(55,40,1, 1),</t>
  </si>
  <si>
    <t>(56,3,7, 1),</t>
  </si>
  <si>
    <t>(57,2,7, 1),</t>
  </si>
  <si>
    <t>(58,6,7, 1),</t>
  </si>
  <si>
    <t>(59,3,7, 1),</t>
  </si>
  <si>
    <t>(60,2,6, 1),</t>
  </si>
  <si>
    <t>(61,3,6, 1),</t>
  </si>
  <si>
    <t>(62,2,5, 1),</t>
  </si>
  <si>
    <t>(63,2,2, 1),</t>
  </si>
  <si>
    <t>(64,800,3, 1),</t>
  </si>
  <si>
    <t>(65,3,6, 1),</t>
  </si>
  <si>
    <t>(66,2,10, 1),</t>
  </si>
  <si>
    <t>(67,100,1, 1),</t>
  </si>
  <si>
    <t>(68,30,1, 1),</t>
  </si>
  <si>
    <t>(69,30,1, 1),</t>
  </si>
  <si>
    <t>(70,30,1, 1),</t>
  </si>
  <si>
    <t>(71,2,7, 1),</t>
  </si>
  <si>
    <t>(72,1.5,5, 1),</t>
  </si>
  <si>
    <t>(73,1,5, 1),</t>
  </si>
  <si>
    <t>(74,1,5, 1),</t>
  </si>
  <si>
    <t>(75,30,1, 1),</t>
  </si>
  <si>
    <t>(76,250,1, 1),</t>
  </si>
  <si>
    <t>(77,3,7, 1),</t>
  </si>
  <si>
    <t>(78,2,7, 1),</t>
  </si>
  <si>
    <t>(79,3,7, 1),</t>
  </si>
  <si>
    <t>(80,1,3, 1),</t>
  </si>
  <si>
    <t>(81,12,7, 1),</t>
  </si>
  <si>
    <t>(82,200,3, 1),</t>
  </si>
  <si>
    <r>
      <t>(</t>
    </r>
    <r>
      <rPr>
        <sz val="10"/>
        <color rgb="FF0000FF"/>
        <rFont val="Consolas"/>
        <family val="3"/>
      </rPr>
      <t>83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80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3, 1</t>
    </r>
    <r>
      <rPr>
        <sz val="10"/>
        <color rgb="FF000000"/>
        <rFont val="Consolas"/>
        <family val="3"/>
      </rPr>
      <t>)</t>
    </r>
  </si>
  <si>
    <t>(1, 5, 7, 1),</t>
  </si>
  <si>
    <t>(2, 30, 8, 1),</t>
  </si>
  <si>
    <t>(3, 200, 1, 1),</t>
  </si>
  <si>
    <t>(4, 5, 5, 1),</t>
  </si>
  <si>
    <t>(5, 10, 6, 1),</t>
  </si>
  <si>
    <t>(6, 1.5, 6, 1),</t>
  </si>
  <si>
    <t>(7, 2, 6, 1),</t>
  </si>
  <si>
    <t>(8, 500, 3, 1),</t>
  </si>
  <si>
    <t>(9, 10, 7, 1),</t>
  </si>
  <si>
    <t>(10, 1, 10, 1),</t>
  </si>
  <si>
    <t>(11, 10, 7, 1),</t>
  </si>
  <si>
    <t>(12, 3, 7, 1),</t>
  </si>
  <si>
    <t>(13, 1.5, 5, 1),</t>
  </si>
  <si>
    <t>(14, 1, 5, 1),</t>
  </si>
  <si>
    <t>(15, 4, 7, 1),</t>
  </si>
  <si>
    <t>(16, 2, 5, 1),</t>
  </si>
  <si>
    <t>(17, 1.5, 5, 1),</t>
  </si>
  <si>
    <t>(18, 250, 1, 1),</t>
  </si>
  <si>
    <t>(19, 4, 6, 1),</t>
  </si>
  <si>
    <t>(20, 3, 6, 1),</t>
  </si>
  <si>
    <t>(21, 300, 1, 1),</t>
  </si>
  <si>
    <t>(22, 75, 1, 1),</t>
  </si>
  <si>
    <t>(23, 500, 3, 1),</t>
  </si>
  <si>
    <t>(24, 30, 1, 1),</t>
  </si>
  <si>
    <t>(25, 200, 1, 1),</t>
  </si>
  <si>
    <t>(26, 15, 7, 1),</t>
  </si>
  <si>
    <t>(27, 80, 1, 1),</t>
  </si>
  <si>
    <t>(28, 100, 1, 1),</t>
  </si>
  <si>
    <t>(29, 2, 6, 1),</t>
  </si>
  <si>
    <t>(30, 12, 7, 1),</t>
  </si>
  <si>
    <t>(31, 4, 7, 1),</t>
  </si>
  <si>
    <t>(32, 2, 5, 1),</t>
  </si>
  <si>
    <t>(33, 2, 7, 1),</t>
  </si>
  <si>
    <t>(34, 4, 7, 1),</t>
  </si>
  <si>
    <t>(35, 1, 5, 1),</t>
  </si>
  <si>
    <t>(36, 200, 1, 1),</t>
  </si>
  <si>
    <t>(37, 1, 11, 1),</t>
  </si>
  <si>
    <t>(38, 50, 1, 1),</t>
  </si>
  <si>
    <t>(39, 200, 3, 1),</t>
  </si>
  <si>
    <t>(40, 80, 1, 1),</t>
  </si>
  <si>
    <t>(41, 6, 7, 1),</t>
  </si>
  <si>
    <t>(42, 4, 7, 1),</t>
  </si>
  <si>
    <t>(43, 500, 1, 1),</t>
  </si>
  <si>
    <t>(44, 1, 2, 1),</t>
  </si>
  <si>
    <t>(45, 250, 1, 1),</t>
  </si>
  <si>
    <t>(46, 6, 7, 1),</t>
  </si>
  <si>
    <t>(47, 2, 5, 1),</t>
  </si>
  <si>
    <t>(48, 1, 5, 1),</t>
  </si>
  <si>
    <t>(49, 200, 1, 1),</t>
  </si>
  <si>
    <t>(50, 300, 1, 1),</t>
  </si>
  <si>
    <t>(51, 1.5, 5, 1),</t>
  </si>
  <si>
    <t>(52, 2, 6, 1),</t>
  </si>
  <si>
    <t>(53, 300, 3, 1),</t>
  </si>
  <si>
    <t>(54, 150, 1, 1),</t>
  </si>
  <si>
    <t>(55, 40, 1, 1),</t>
  </si>
  <si>
    <t>(56, 3, 7, 1),</t>
  </si>
  <si>
    <t>(57, 2, 7, 1),</t>
  </si>
  <si>
    <t>(58, 6, 7, 1),</t>
  </si>
  <si>
    <t>(59, 3, 7, 1),</t>
  </si>
  <si>
    <t>(60, 2, 6, 1),</t>
  </si>
  <si>
    <t>(61, 3, 6, 1),</t>
  </si>
  <si>
    <t>(62, 2, 5, 1),</t>
  </si>
  <si>
    <t>(63, 2, 2, 1),</t>
  </si>
  <si>
    <t>(64, 800, 3, 1),</t>
  </si>
  <si>
    <t>(65, 3, 6, 1),</t>
  </si>
  <si>
    <t>(66, 2, 10, 1),</t>
  </si>
  <si>
    <t>(67, 100, 1, 1),</t>
  </si>
  <si>
    <t>(68, 30, 1, 1),</t>
  </si>
  <si>
    <t>(69, 30, 1, 1),</t>
  </si>
  <si>
    <t>(70, 30, 1, 1),</t>
  </si>
  <si>
    <t>(71, 2, 7, 1),</t>
  </si>
  <si>
    <t>(72, 1.5, 5, 1),</t>
  </si>
  <si>
    <t>(73, 1, 5, 1),</t>
  </si>
  <si>
    <t>(74, 1, 5, 1),</t>
  </si>
  <si>
    <t>(75, 30, 1, 1),</t>
  </si>
  <si>
    <t>(76, 250, 1, 1),</t>
  </si>
  <si>
    <t>(77, 3, 7, 1),</t>
  </si>
  <si>
    <t>(78, 2, 7, 1),</t>
  </si>
  <si>
    <t>(79, 3, 7, 1),</t>
  </si>
  <si>
    <t>(80, 1, 3, 1),</t>
  </si>
  <si>
    <t>(81, 12, 7, 1),</t>
  </si>
  <si>
    <t>(82, 200, 3, 1),</t>
  </si>
  <si>
    <t>(83, 80, 3, 1)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</si>
</sst>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0000FF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" fontId="0" fillId="0" borderId="0" xfId="0" applyNumberFormat="1"/>
    <xf numFmtId="12" fontId="0" fillId="0" borderId="0" xfId="0" applyNumberFormat="1"/>
    <xf numFmtId="0" fontId="0" fillId="0" borderId="1" xfId="0" applyBorder="1"/>
    <xf numFmtId="0" fontId="0" fillId="0" borderId="2" xfId="0" applyBorder="1"/>
    <xf numFmtId="16" fontId="0" fillId="0" borderId="1" xfId="0" applyNumberFormat="1" applyBorder="1"/>
    <xf numFmtId="16" fontId="0" fillId="0" borderId="0" xfId="0" quotePrefix="1" applyNumberFormat="1"/>
    <xf numFmtId="0" fontId="0" fillId="0" borderId="0" xfId="0" quotePrefix="1"/>
    <xf numFmtId="0" fontId="0" fillId="0" borderId="3" xfId="0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vertical="center" indent="1"/>
    </xf>
    <xf numFmtId="21" fontId="0" fillId="0" borderId="0" xfId="0" applyNumberFormat="1"/>
    <xf numFmtId="21" fontId="0" fillId="0" borderId="1" xfId="0" applyNumberFormat="1" applyBorder="1"/>
    <xf numFmtId="14" fontId="0" fillId="0" borderId="0" xfId="0" applyNumberFormat="1"/>
    <xf numFmtId="14" fontId="0" fillId="0" borderId="1" xfId="0" applyNumberFormat="1" applyBorder="1"/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6445-54B7-490B-A51F-EF78BC1CD38D}">
  <dimension ref="A2:N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92" sqref="D92"/>
    </sheetView>
  </sheetViews>
  <sheetFormatPr defaultRowHeight="14.4" x14ac:dyDescent="0.3"/>
  <cols>
    <col min="1" max="1" width="27" bestFit="1" customWidth="1"/>
    <col min="2" max="2" width="19.88671875" bestFit="1" customWidth="1"/>
    <col min="3" max="3" width="7.33203125" bestFit="1" customWidth="1"/>
    <col min="4" max="4" width="4.44140625" bestFit="1" customWidth="1"/>
    <col min="5" max="5" width="9.21875" bestFit="1" customWidth="1"/>
    <col min="6" max="6" width="11.5546875" bestFit="1" customWidth="1"/>
    <col min="7" max="7" width="6.6640625" bestFit="1" customWidth="1"/>
    <col min="8" max="8" width="14.88671875" bestFit="1" customWidth="1"/>
    <col min="9" max="9" width="23.33203125" bestFit="1" customWidth="1"/>
    <col min="10" max="10" width="9.6640625" bestFit="1" customWidth="1"/>
  </cols>
  <sheetData>
    <row r="2" spans="1:14" x14ac:dyDescent="0.3">
      <c r="A2" t="s">
        <v>0</v>
      </c>
    </row>
    <row r="3" spans="1:14" ht="15" thickBot="1" x14ac:dyDescent="0.35">
      <c r="A3" s="4" t="s">
        <v>1</v>
      </c>
      <c r="B3" s="4" t="s">
        <v>3</v>
      </c>
      <c r="C3" s="4" t="s">
        <v>9</v>
      </c>
      <c r="D3" s="4" t="s">
        <v>43</v>
      </c>
      <c r="E3" s="4" t="s">
        <v>4</v>
      </c>
      <c r="F3" s="4" t="s">
        <v>10</v>
      </c>
      <c r="G3" s="4" t="s">
        <v>5</v>
      </c>
      <c r="H3" s="4" t="s">
        <v>2</v>
      </c>
      <c r="I3" s="4" t="s">
        <v>6</v>
      </c>
      <c r="J3" t="s">
        <v>80</v>
      </c>
      <c r="M3" t="s">
        <v>276</v>
      </c>
    </row>
    <row r="4" spans="1:14" ht="15" thickTop="1" x14ac:dyDescent="0.3">
      <c r="A4" t="s">
        <v>7</v>
      </c>
      <c r="B4" t="s">
        <v>11</v>
      </c>
      <c r="C4">
        <v>1</v>
      </c>
      <c r="E4" t="s">
        <v>12</v>
      </c>
      <c r="F4" t="s">
        <v>13</v>
      </c>
      <c r="G4" s="1" t="s">
        <v>14</v>
      </c>
      <c r="H4" t="s">
        <v>8</v>
      </c>
      <c r="I4" t="s">
        <v>15</v>
      </c>
      <c r="J4" s="8" t="s">
        <v>81</v>
      </c>
      <c r="M4" t="s">
        <v>178</v>
      </c>
      <c r="N4">
        <v>1</v>
      </c>
    </row>
    <row r="5" spans="1:14" x14ac:dyDescent="0.3">
      <c r="B5" t="s">
        <v>16</v>
      </c>
      <c r="C5">
        <v>6</v>
      </c>
      <c r="M5" t="s">
        <v>179</v>
      </c>
      <c r="N5">
        <v>2</v>
      </c>
    </row>
    <row r="6" spans="1:14" x14ac:dyDescent="0.3">
      <c r="B6" t="s">
        <v>17</v>
      </c>
      <c r="C6">
        <v>45</v>
      </c>
      <c r="D6" t="s">
        <v>20</v>
      </c>
      <c r="M6" t="s">
        <v>180</v>
      </c>
      <c r="N6">
        <v>3</v>
      </c>
    </row>
    <row r="7" spans="1:14" x14ac:dyDescent="0.3">
      <c r="B7" t="s">
        <v>18</v>
      </c>
      <c r="C7" s="2">
        <v>2.5</v>
      </c>
      <c r="D7" t="s">
        <v>21</v>
      </c>
      <c r="M7" t="s">
        <v>181</v>
      </c>
      <c r="N7">
        <v>4</v>
      </c>
    </row>
    <row r="8" spans="1:14" x14ac:dyDescent="0.3">
      <c r="B8" t="s">
        <v>19</v>
      </c>
      <c r="C8">
        <v>2</v>
      </c>
      <c r="D8" t="s">
        <v>21</v>
      </c>
      <c r="M8" t="s">
        <v>182</v>
      </c>
      <c r="N8">
        <v>5</v>
      </c>
    </row>
    <row r="9" spans="1:14" x14ac:dyDescent="0.3">
      <c r="B9" t="s">
        <v>22</v>
      </c>
      <c r="C9" s="2">
        <v>2.5</v>
      </c>
      <c r="D9" t="s">
        <v>21</v>
      </c>
      <c r="M9" t="s">
        <v>183</v>
      </c>
      <c r="N9">
        <v>6</v>
      </c>
    </row>
    <row r="10" spans="1:14" x14ac:dyDescent="0.3">
      <c r="B10" t="s">
        <v>23</v>
      </c>
      <c r="C10">
        <v>3</v>
      </c>
      <c r="D10" t="s">
        <v>21</v>
      </c>
      <c r="M10" t="s">
        <v>184</v>
      </c>
      <c r="N10">
        <v>7</v>
      </c>
    </row>
    <row r="11" spans="1:14" x14ac:dyDescent="0.3">
      <c r="B11" t="s">
        <v>24</v>
      </c>
      <c r="C11">
        <v>90</v>
      </c>
      <c r="D11" t="s">
        <v>25</v>
      </c>
      <c r="M11" t="s">
        <v>185</v>
      </c>
      <c r="N11">
        <v>8</v>
      </c>
    </row>
    <row r="12" spans="1:14" x14ac:dyDescent="0.3">
      <c r="B12" t="s">
        <v>26</v>
      </c>
      <c r="C12">
        <v>800</v>
      </c>
      <c r="D12" t="s">
        <v>20</v>
      </c>
      <c r="M12" t="s">
        <v>186</v>
      </c>
      <c r="N12">
        <v>9</v>
      </c>
    </row>
    <row r="13" spans="1:14" x14ac:dyDescent="0.3">
      <c r="B13" t="s">
        <v>65</v>
      </c>
      <c r="C13">
        <v>2</v>
      </c>
      <c r="D13" t="s">
        <v>27</v>
      </c>
      <c r="M13" t="s">
        <v>187</v>
      </c>
      <c r="N13">
        <v>10</v>
      </c>
    </row>
    <row r="14" spans="1:14" x14ac:dyDescent="0.3">
      <c r="B14" t="s">
        <v>28</v>
      </c>
      <c r="C14">
        <v>8</v>
      </c>
      <c r="M14" t="s">
        <v>191</v>
      </c>
      <c r="N14">
        <v>11</v>
      </c>
    </row>
    <row r="15" spans="1:14" x14ac:dyDescent="0.3">
      <c r="B15" t="s">
        <v>29</v>
      </c>
      <c r="C15">
        <v>3</v>
      </c>
      <c r="M15" t="s">
        <v>190</v>
      </c>
      <c r="N15">
        <v>12</v>
      </c>
    </row>
    <row r="16" spans="1:14" x14ac:dyDescent="0.3">
      <c r="B16" t="s">
        <v>30</v>
      </c>
      <c r="M16" t="s">
        <v>192</v>
      </c>
      <c r="N16">
        <v>13</v>
      </c>
    </row>
    <row r="17" spans="1:10" x14ac:dyDescent="0.3">
      <c r="B17" t="s">
        <v>31</v>
      </c>
    </row>
    <row r="18" spans="1:10" x14ac:dyDescent="0.3">
      <c r="A18" s="3" t="s">
        <v>32</v>
      </c>
      <c r="B18" s="3" t="s">
        <v>33</v>
      </c>
      <c r="C18" s="3">
        <v>4</v>
      </c>
      <c r="D18" s="3"/>
      <c r="E18" s="3" t="s">
        <v>41</v>
      </c>
      <c r="F18" s="3" t="s">
        <v>42</v>
      </c>
      <c r="G18" s="3">
        <v>4</v>
      </c>
      <c r="H18" s="3" t="s">
        <v>8</v>
      </c>
      <c r="I18" s="3" t="s">
        <v>15</v>
      </c>
      <c r="J18" s="3" t="s">
        <v>81</v>
      </c>
    </row>
    <row r="19" spans="1:10" x14ac:dyDescent="0.3">
      <c r="B19" t="s">
        <v>34</v>
      </c>
      <c r="C19">
        <v>2</v>
      </c>
      <c r="D19" t="s">
        <v>21</v>
      </c>
    </row>
    <row r="20" spans="1:10" x14ac:dyDescent="0.3">
      <c r="B20" t="s">
        <v>35</v>
      </c>
      <c r="C20">
        <v>2</v>
      </c>
      <c r="D20" t="s">
        <v>36</v>
      </c>
    </row>
    <row r="21" spans="1:10" x14ac:dyDescent="0.3">
      <c r="B21" t="s">
        <v>24</v>
      </c>
      <c r="C21">
        <v>60</v>
      </c>
      <c r="D21" t="s">
        <v>25</v>
      </c>
    </row>
    <row r="22" spans="1:10" x14ac:dyDescent="0.3">
      <c r="B22" t="s">
        <v>37</v>
      </c>
      <c r="C22">
        <v>250</v>
      </c>
      <c r="D22" t="s">
        <v>20</v>
      </c>
    </row>
    <row r="23" spans="1:10" x14ac:dyDescent="0.3">
      <c r="B23" t="s">
        <v>38</v>
      </c>
      <c r="C23">
        <v>90</v>
      </c>
      <c r="D23" t="s">
        <v>20</v>
      </c>
    </row>
    <row r="24" spans="1:10" x14ac:dyDescent="0.3">
      <c r="B24" t="s">
        <v>16</v>
      </c>
      <c r="C24">
        <v>3</v>
      </c>
    </row>
    <row r="25" spans="1:10" x14ac:dyDescent="0.3">
      <c r="B25" t="s">
        <v>39</v>
      </c>
      <c r="C25" s="2">
        <v>3.5</v>
      </c>
      <c r="D25" t="s">
        <v>21</v>
      </c>
    </row>
    <row r="26" spans="1:10" x14ac:dyDescent="0.3">
      <c r="B26" t="s">
        <v>40</v>
      </c>
      <c r="C26" s="2">
        <v>1.5</v>
      </c>
      <c r="D26" t="s">
        <v>21</v>
      </c>
    </row>
    <row r="27" spans="1:10" x14ac:dyDescent="0.3">
      <c r="B27" t="s">
        <v>30</v>
      </c>
    </row>
    <row r="28" spans="1:10" x14ac:dyDescent="0.3">
      <c r="B28" t="s">
        <v>31</v>
      </c>
    </row>
    <row r="29" spans="1:10" x14ac:dyDescent="0.3">
      <c r="A29" s="3" t="s">
        <v>44</v>
      </c>
      <c r="B29" s="3" t="s">
        <v>45</v>
      </c>
      <c r="C29" s="3">
        <v>400</v>
      </c>
      <c r="D29" s="3" t="s">
        <v>20</v>
      </c>
      <c r="E29" s="3" t="s">
        <v>54</v>
      </c>
      <c r="F29" s="3" t="s">
        <v>55</v>
      </c>
      <c r="G29" s="3">
        <v>6</v>
      </c>
      <c r="H29" s="3" t="s">
        <v>8</v>
      </c>
      <c r="I29" s="3" t="s">
        <v>56</v>
      </c>
      <c r="J29" s="3" t="s">
        <v>82</v>
      </c>
    </row>
    <row r="30" spans="1:10" x14ac:dyDescent="0.3">
      <c r="B30" t="s">
        <v>46</v>
      </c>
      <c r="C30">
        <v>50</v>
      </c>
      <c r="D30" t="s">
        <v>20</v>
      </c>
    </row>
    <row r="31" spans="1:10" x14ac:dyDescent="0.3">
      <c r="B31" t="s">
        <v>47</v>
      </c>
      <c r="C31">
        <v>800</v>
      </c>
      <c r="D31" t="s">
        <v>25</v>
      </c>
    </row>
    <row r="32" spans="1:10" x14ac:dyDescent="0.3">
      <c r="B32" t="s">
        <v>48</v>
      </c>
      <c r="C32">
        <v>50</v>
      </c>
      <c r="D32" t="s">
        <v>20</v>
      </c>
    </row>
    <row r="33" spans="1:10" x14ac:dyDescent="0.3">
      <c r="B33" t="s">
        <v>49</v>
      </c>
      <c r="C33">
        <v>150</v>
      </c>
      <c r="D33" t="s">
        <v>20</v>
      </c>
    </row>
    <row r="34" spans="1:10" x14ac:dyDescent="0.3">
      <c r="B34" t="s">
        <v>30</v>
      </c>
    </row>
    <row r="35" spans="1:10" x14ac:dyDescent="0.3">
      <c r="B35" t="s">
        <v>31</v>
      </c>
    </row>
    <row r="36" spans="1:10" x14ac:dyDescent="0.3">
      <c r="B36" t="s">
        <v>50</v>
      </c>
      <c r="C36">
        <v>40</v>
      </c>
      <c r="D36" t="s">
        <v>20</v>
      </c>
    </row>
    <row r="37" spans="1:10" x14ac:dyDescent="0.3">
      <c r="B37" t="s">
        <v>51</v>
      </c>
      <c r="C37">
        <v>90</v>
      </c>
      <c r="D37" t="s">
        <v>20</v>
      </c>
    </row>
    <row r="38" spans="1:10" x14ac:dyDescent="0.3">
      <c r="B38" t="s">
        <v>52</v>
      </c>
      <c r="C38">
        <v>50</v>
      </c>
      <c r="D38" t="s">
        <v>20</v>
      </c>
    </row>
    <row r="39" spans="1:10" x14ac:dyDescent="0.3">
      <c r="B39" t="s">
        <v>24</v>
      </c>
      <c r="C39">
        <v>3</v>
      </c>
      <c r="D39" t="s">
        <v>21</v>
      </c>
    </row>
    <row r="40" spans="1:10" x14ac:dyDescent="0.3">
      <c r="B40" t="s">
        <v>53</v>
      </c>
      <c r="C40">
        <v>1</v>
      </c>
      <c r="D40" t="s">
        <v>21</v>
      </c>
    </row>
    <row r="41" spans="1:10" x14ac:dyDescent="0.3">
      <c r="B41" t="s">
        <v>16</v>
      </c>
      <c r="C41">
        <v>1</v>
      </c>
    </row>
    <row r="42" spans="1:10" x14ac:dyDescent="0.3">
      <c r="A42" s="3" t="s">
        <v>57</v>
      </c>
      <c r="B42" s="3" t="s">
        <v>74</v>
      </c>
      <c r="C42" s="3">
        <v>800</v>
      </c>
      <c r="D42" s="3" t="s">
        <v>20</v>
      </c>
      <c r="E42" s="3" t="s">
        <v>118</v>
      </c>
      <c r="F42" s="3" t="s">
        <v>61</v>
      </c>
      <c r="G42" s="5" t="s">
        <v>14</v>
      </c>
      <c r="H42" s="3" t="s">
        <v>8</v>
      </c>
      <c r="I42" s="3" t="s">
        <v>56</v>
      </c>
      <c r="J42" s="3" t="s">
        <v>82</v>
      </c>
    </row>
    <row r="43" spans="1:10" x14ac:dyDescent="0.3">
      <c r="B43" t="s">
        <v>16</v>
      </c>
      <c r="C43">
        <v>12</v>
      </c>
    </row>
    <row r="44" spans="1:10" x14ac:dyDescent="0.3">
      <c r="B44" t="s">
        <v>58</v>
      </c>
      <c r="C44">
        <v>220</v>
      </c>
      <c r="D44" t="s">
        <v>20</v>
      </c>
    </row>
    <row r="45" spans="1:10" x14ac:dyDescent="0.3">
      <c r="B45" t="s">
        <v>40</v>
      </c>
      <c r="C45">
        <v>25</v>
      </c>
      <c r="D45" t="s">
        <v>20</v>
      </c>
    </row>
    <row r="46" spans="1:10" x14ac:dyDescent="0.3">
      <c r="B46" t="s">
        <v>59</v>
      </c>
      <c r="C46">
        <v>3</v>
      </c>
      <c r="D46" t="s">
        <v>21</v>
      </c>
    </row>
    <row r="47" spans="1:10" x14ac:dyDescent="0.3">
      <c r="B47" t="s">
        <v>60</v>
      </c>
      <c r="C47">
        <v>4</v>
      </c>
    </row>
    <row r="48" spans="1:10" x14ac:dyDescent="0.3">
      <c r="B48" t="s">
        <v>24</v>
      </c>
      <c r="C48">
        <v>100</v>
      </c>
      <c r="D48" t="s">
        <v>25</v>
      </c>
    </row>
    <row r="49" spans="1:10" x14ac:dyDescent="0.3">
      <c r="B49" t="s">
        <v>45</v>
      </c>
      <c r="C49">
        <v>300</v>
      </c>
      <c r="D49" t="s">
        <v>20</v>
      </c>
    </row>
    <row r="50" spans="1:10" x14ac:dyDescent="0.3">
      <c r="B50" t="s">
        <v>47</v>
      </c>
      <c r="C50">
        <v>600</v>
      </c>
      <c r="D50" t="s">
        <v>25</v>
      </c>
    </row>
    <row r="51" spans="1:10" x14ac:dyDescent="0.3">
      <c r="B51" t="s">
        <v>30</v>
      </c>
    </row>
    <row r="52" spans="1:10" x14ac:dyDescent="0.3">
      <c r="B52" t="s">
        <v>31</v>
      </c>
    </row>
    <row r="53" spans="1:10" x14ac:dyDescent="0.3">
      <c r="A53" s="3" t="s">
        <v>62</v>
      </c>
      <c r="B53" s="3" t="s">
        <v>73</v>
      </c>
      <c r="C53" s="3">
        <v>1</v>
      </c>
      <c r="D53" s="3" t="s">
        <v>63</v>
      </c>
      <c r="E53" s="3" t="s">
        <v>75</v>
      </c>
      <c r="F53" s="3" t="s">
        <v>77</v>
      </c>
      <c r="G53" s="3" t="s">
        <v>14</v>
      </c>
      <c r="H53" s="3" t="s">
        <v>78</v>
      </c>
      <c r="I53" s="3" t="s">
        <v>79</v>
      </c>
      <c r="J53" s="3" t="s">
        <v>82</v>
      </c>
    </row>
    <row r="54" spans="1:10" x14ac:dyDescent="0.3">
      <c r="B54" t="s">
        <v>24</v>
      </c>
      <c r="C54">
        <v>3</v>
      </c>
      <c r="D54" t="s">
        <v>21</v>
      </c>
    </row>
    <row r="55" spans="1:10" x14ac:dyDescent="0.3">
      <c r="B55" t="s">
        <v>64</v>
      </c>
      <c r="C55">
        <v>2</v>
      </c>
      <c r="D55" t="s">
        <v>36</v>
      </c>
    </row>
    <row r="56" spans="1:10" x14ac:dyDescent="0.3">
      <c r="B56" t="s">
        <v>66</v>
      </c>
      <c r="C56">
        <v>160</v>
      </c>
      <c r="D56" t="s">
        <v>20</v>
      </c>
    </row>
    <row r="57" spans="1:10" x14ac:dyDescent="0.3">
      <c r="B57" t="s">
        <v>67</v>
      </c>
      <c r="C57">
        <v>5</v>
      </c>
      <c r="D57" t="s">
        <v>20</v>
      </c>
    </row>
    <row r="58" spans="1:10" x14ac:dyDescent="0.3">
      <c r="B58" t="s">
        <v>68</v>
      </c>
      <c r="C58">
        <v>5</v>
      </c>
      <c r="D58" t="s">
        <v>20</v>
      </c>
    </row>
    <row r="59" spans="1:10" x14ac:dyDescent="0.3">
      <c r="B59" t="s">
        <v>31</v>
      </c>
    </row>
    <row r="60" spans="1:10" x14ac:dyDescent="0.3">
      <c r="B60" t="s">
        <v>11</v>
      </c>
      <c r="C60" s="6" t="s">
        <v>69</v>
      </c>
    </row>
    <row r="61" spans="1:10" x14ac:dyDescent="0.3">
      <c r="B61" t="s">
        <v>39</v>
      </c>
      <c r="C61">
        <v>2</v>
      </c>
      <c r="D61" t="s">
        <v>21</v>
      </c>
    </row>
    <row r="62" spans="1:10" x14ac:dyDescent="0.3">
      <c r="B62" t="s">
        <v>64</v>
      </c>
      <c r="C62" s="7" t="s">
        <v>69</v>
      </c>
      <c r="D62" t="s">
        <v>36</v>
      </c>
    </row>
    <row r="63" spans="1:10" x14ac:dyDescent="0.3">
      <c r="B63" t="s">
        <v>70</v>
      </c>
      <c r="C63">
        <v>4</v>
      </c>
      <c r="D63" t="s">
        <v>21</v>
      </c>
    </row>
    <row r="64" spans="1:10" x14ac:dyDescent="0.3">
      <c r="B64" t="s">
        <v>71</v>
      </c>
      <c r="C64">
        <v>15</v>
      </c>
      <c r="D64" t="s">
        <v>20</v>
      </c>
    </row>
    <row r="65" spans="1:10" x14ac:dyDescent="0.3">
      <c r="B65" t="s">
        <v>16</v>
      </c>
      <c r="C65">
        <v>1</v>
      </c>
    </row>
    <row r="66" spans="1:10" x14ac:dyDescent="0.3">
      <c r="B66" t="s">
        <v>72</v>
      </c>
      <c r="C66">
        <v>2</v>
      </c>
    </row>
    <row r="67" spans="1:10" x14ac:dyDescent="0.3">
      <c r="A67" s="3" t="s">
        <v>83</v>
      </c>
      <c r="B67" s="3" t="s">
        <v>84</v>
      </c>
      <c r="C67" s="3">
        <v>2</v>
      </c>
      <c r="D67" s="3"/>
      <c r="E67" s="3" t="s">
        <v>91</v>
      </c>
      <c r="F67" s="3" t="s">
        <v>92</v>
      </c>
      <c r="G67" s="3">
        <v>12</v>
      </c>
      <c r="H67" s="3" t="s">
        <v>93</v>
      </c>
      <c r="I67" s="3" t="s">
        <v>94</v>
      </c>
      <c r="J67" s="3" t="s">
        <v>95</v>
      </c>
    </row>
    <row r="68" spans="1:10" x14ac:dyDescent="0.3">
      <c r="B68" t="s">
        <v>85</v>
      </c>
      <c r="C68">
        <v>500</v>
      </c>
      <c r="D68" t="s">
        <v>20</v>
      </c>
    </row>
    <row r="69" spans="1:10" x14ac:dyDescent="0.3">
      <c r="B69" t="s">
        <v>86</v>
      </c>
      <c r="C69">
        <v>400</v>
      </c>
      <c r="D69" t="s">
        <v>20</v>
      </c>
    </row>
    <row r="70" spans="1:10" x14ac:dyDescent="0.3">
      <c r="B70" t="s">
        <v>60</v>
      </c>
      <c r="C70">
        <v>1</v>
      </c>
    </row>
    <row r="71" spans="1:10" x14ac:dyDescent="0.3">
      <c r="B71" t="s">
        <v>24</v>
      </c>
      <c r="C71">
        <v>200</v>
      </c>
      <c r="D71" t="s">
        <v>25</v>
      </c>
    </row>
    <row r="72" spans="1:10" x14ac:dyDescent="0.3">
      <c r="B72" t="s">
        <v>87</v>
      </c>
      <c r="C72">
        <v>250</v>
      </c>
      <c r="D72" t="s">
        <v>20</v>
      </c>
    </row>
    <row r="73" spans="1:10" x14ac:dyDescent="0.3">
      <c r="B73" t="s">
        <v>88</v>
      </c>
      <c r="C73">
        <v>5</v>
      </c>
    </row>
    <row r="74" spans="1:10" x14ac:dyDescent="0.3">
      <c r="B74" t="s">
        <v>89</v>
      </c>
      <c r="C74">
        <v>1</v>
      </c>
      <c r="D74" t="s">
        <v>21</v>
      </c>
    </row>
    <row r="75" spans="1:10" x14ac:dyDescent="0.3">
      <c r="B75" t="s">
        <v>99</v>
      </c>
      <c r="C75">
        <v>1</v>
      </c>
      <c r="D75" t="s">
        <v>36</v>
      </c>
    </row>
    <row r="76" spans="1:10" x14ac:dyDescent="0.3">
      <c r="A76" s="3" t="s">
        <v>108</v>
      </c>
      <c r="B76" s="3" t="s">
        <v>96</v>
      </c>
      <c r="C76" s="3">
        <v>140</v>
      </c>
      <c r="D76" s="3" t="s">
        <v>20</v>
      </c>
      <c r="E76" s="3" t="s">
        <v>103</v>
      </c>
      <c r="F76" s="3" t="s">
        <v>104</v>
      </c>
      <c r="G76" s="3">
        <v>12</v>
      </c>
      <c r="H76" s="3" t="s">
        <v>105</v>
      </c>
      <c r="I76" s="3" t="s">
        <v>106</v>
      </c>
      <c r="J76" s="3" t="s">
        <v>95</v>
      </c>
    </row>
    <row r="77" spans="1:10" x14ac:dyDescent="0.3">
      <c r="B77" t="s">
        <v>97</v>
      </c>
      <c r="C77">
        <v>150</v>
      </c>
      <c r="D77" t="s">
        <v>20</v>
      </c>
    </row>
    <row r="78" spans="1:10" x14ac:dyDescent="0.3">
      <c r="B78" t="s">
        <v>89</v>
      </c>
      <c r="C78">
        <v>1</v>
      </c>
      <c r="D78" t="s">
        <v>21</v>
      </c>
    </row>
    <row r="79" spans="1:10" x14ac:dyDescent="0.3">
      <c r="B79" t="s">
        <v>98</v>
      </c>
      <c r="C79">
        <v>1</v>
      </c>
      <c r="D79" t="s">
        <v>36</v>
      </c>
    </row>
    <row r="80" spans="1:10" x14ac:dyDescent="0.3">
      <c r="B80" t="s">
        <v>88</v>
      </c>
      <c r="C80">
        <v>1</v>
      </c>
    </row>
    <row r="81" spans="1:10" x14ac:dyDescent="0.3">
      <c r="B81" t="s">
        <v>24</v>
      </c>
      <c r="C81">
        <v>160</v>
      </c>
      <c r="D81" t="s">
        <v>25</v>
      </c>
    </row>
    <row r="82" spans="1:10" x14ac:dyDescent="0.3">
      <c r="B82" t="s">
        <v>99</v>
      </c>
      <c r="C82">
        <v>1</v>
      </c>
      <c r="D82" t="s">
        <v>36</v>
      </c>
    </row>
    <row r="83" spans="1:10" x14ac:dyDescent="0.3">
      <c r="B83" t="s">
        <v>100</v>
      </c>
      <c r="C83">
        <v>180</v>
      </c>
      <c r="D83" t="s">
        <v>25</v>
      </c>
    </row>
    <row r="84" spans="1:10" x14ac:dyDescent="0.3">
      <c r="B84" t="s">
        <v>101</v>
      </c>
      <c r="C84">
        <v>80</v>
      </c>
      <c r="D84" t="s">
        <v>25</v>
      </c>
    </row>
    <row r="85" spans="1:10" x14ac:dyDescent="0.3">
      <c r="B85" t="s">
        <v>102</v>
      </c>
      <c r="C85">
        <v>375</v>
      </c>
      <c r="D85" t="s">
        <v>20</v>
      </c>
    </row>
    <row r="86" spans="1:10" x14ac:dyDescent="0.3">
      <c r="A86" s="3" t="s">
        <v>107</v>
      </c>
      <c r="B86" s="3" t="s">
        <v>109</v>
      </c>
      <c r="C86" s="3">
        <v>15</v>
      </c>
      <c r="D86" s="3" t="s">
        <v>20</v>
      </c>
      <c r="E86" s="3" t="s">
        <v>103</v>
      </c>
      <c r="F86" s="3" t="s">
        <v>90</v>
      </c>
      <c r="G86" s="3">
        <v>4</v>
      </c>
      <c r="H86" s="3" t="s">
        <v>93</v>
      </c>
      <c r="I86" s="3" t="s">
        <v>117</v>
      </c>
      <c r="J86" s="3" t="s">
        <v>81</v>
      </c>
    </row>
    <row r="87" spans="1:10" x14ac:dyDescent="0.3">
      <c r="B87" t="s">
        <v>110</v>
      </c>
      <c r="C87">
        <v>4</v>
      </c>
    </row>
    <row r="88" spans="1:10" x14ac:dyDescent="0.3">
      <c r="B88" t="s">
        <v>111</v>
      </c>
      <c r="C88">
        <v>2</v>
      </c>
    </row>
    <row r="89" spans="1:10" x14ac:dyDescent="0.3">
      <c r="B89" t="s">
        <v>112</v>
      </c>
      <c r="C89">
        <v>2</v>
      </c>
    </row>
    <row r="90" spans="1:10" x14ac:dyDescent="0.3">
      <c r="B90" t="s">
        <v>74</v>
      </c>
      <c r="C90">
        <v>200</v>
      </c>
      <c r="D90" t="s">
        <v>20</v>
      </c>
    </row>
    <row r="91" spans="1:10" x14ac:dyDescent="0.3">
      <c r="B91" t="s">
        <v>113</v>
      </c>
      <c r="C91">
        <v>4</v>
      </c>
    </row>
    <row r="92" spans="1:10" x14ac:dyDescent="0.3">
      <c r="B92" t="s">
        <v>40</v>
      </c>
      <c r="C92">
        <v>50</v>
      </c>
      <c r="D92" t="s">
        <v>20</v>
      </c>
    </row>
    <row r="93" spans="1:10" x14ac:dyDescent="0.3">
      <c r="B93" t="s">
        <v>114</v>
      </c>
      <c r="C93">
        <v>1</v>
      </c>
    </row>
    <row r="94" spans="1:10" x14ac:dyDescent="0.3">
      <c r="B94" t="s">
        <v>115</v>
      </c>
      <c r="C94">
        <v>1</v>
      </c>
      <c r="D94" t="s">
        <v>21</v>
      </c>
    </row>
    <row r="95" spans="1:10" x14ac:dyDescent="0.3">
      <c r="B95" t="s">
        <v>22</v>
      </c>
      <c r="C95" s="7" t="s">
        <v>69</v>
      </c>
      <c r="D95" t="s">
        <v>21</v>
      </c>
    </row>
    <row r="96" spans="1:10" x14ac:dyDescent="0.3">
      <c r="B96" t="s">
        <v>116</v>
      </c>
      <c r="C96">
        <v>3</v>
      </c>
      <c r="D96" t="s">
        <v>21</v>
      </c>
    </row>
    <row r="97" spans="1:10" x14ac:dyDescent="0.3">
      <c r="A97" s="3" t="s">
        <v>119</v>
      </c>
      <c r="B97" s="3" t="s">
        <v>120</v>
      </c>
      <c r="C97" s="3">
        <v>2</v>
      </c>
      <c r="D97" s="3" t="s">
        <v>21</v>
      </c>
      <c r="E97" s="3" t="s">
        <v>75</v>
      </c>
      <c r="F97" s="3" t="s">
        <v>131</v>
      </c>
      <c r="G97" s="3">
        <v>6</v>
      </c>
      <c r="H97" s="3" t="s">
        <v>129</v>
      </c>
      <c r="I97" s="3" t="s">
        <v>130</v>
      </c>
      <c r="J97" s="3" t="s">
        <v>81</v>
      </c>
    </row>
    <row r="98" spans="1:10" x14ac:dyDescent="0.3">
      <c r="B98" t="s">
        <v>22</v>
      </c>
      <c r="C98">
        <v>2</v>
      </c>
      <c r="D98" t="s">
        <v>21</v>
      </c>
    </row>
    <row r="99" spans="1:10" x14ac:dyDescent="0.3">
      <c r="B99" t="s">
        <v>121</v>
      </c>
      <c r="C99">
        <v>1.3</v>
      </c>
      <c r="D99" t="s">
        <v>63</v>
      </c>
    </row>
    <row r="100" spans="1:10" x14ac:dyDescent="0.3">
      <c r="B100" t="s">
        <v>122</v>
      </c>
      <c r="C100">
        <v>500</v>
      </c>
      <c r="D100" t="s">
        <v>25</v>
      </c>
    </row>
    <row r="101" spans="1:10" x14ac:dyDescent="0.3">
      <c r="B101" t="s">
        <v>123</v>
      </c>
      <c r="C101">
        <v>2</v>
      </c>
      <c r="D101" t="s">
        <v>21</v>
      </c>
    </row>
    <row r="102" spans="1:10" x14ac:dyDescent="0.3">
      <c r="B102" t="s">
        <v>124</v>
      </c>
      <c r="C102">
        <v>400</v>
      </c>
      <c r="D102" t="s">
        <v>20</v>
      </c>
    </row>
    <row r="103" spans="1:10" x14ac:dyDescent="0.3">
      <c r="B103" t="s">
        <v>125</v>
      </c>
      <c r="C103">
        <v>20</v>
      </c>
      <c r="D103" t="s">
        <v>20</v>
      </c>
    </row>
    <row r="104" spans="1:10" x14ac:dyDescent="0.3">
      <c r="B104" t="s">
        <v>126</v>
      </c>
      <c r="C104">
        <v>10</v>
      </c>
      <c r="D104" t="s">
        <v>20</v>
      </c>
    </row>
    <row r="105" spans="1:10" x14ac:dyDescent="0.3">
      <c r="B105" t="s">
        <v>127</v>
      </c>
      <c r="C105">
        <v>5</v>
      </c>
      <c r="D105" t="s">
        <v>20</v>
      </c>
    </row>
    <row r="106" spans="1:10" x14ac:dyDescent="0.3">
      <c r="B106" t="s">
        <v>68</v>
      </c>
      <c r="C106">
        <v>5</v>
      </c>
      <c r="D106" t="s">
        <v>20</v>
      </c>
    </row>
    <row r="107" spans="1:10" x14ac:dyDescent="0.3">
      <c r="B107" t="s">
        <v>128</v>
      </c>
      <c r="C107">
        <v>5</v>
      </c>
      <c r="D107" t="s">
        <v>20</v>
      </c>
    </row>
    <row r="108" spans="1:10" x14ac:dyDescent="0.3">
      <c r="B108" t="s">
        <v>30</v>
      </c>
    </row>
    <row r="109" spans="1:10" x14ac:dyDescent="0.3">
      <c r="B109" t="s">
        <v>31</v>
      </c>
    </row>
    <row r="110" spans="1:10" x14ac:dyDescent="0.3">
      <c r="A110" s="3" t="s">
        <v>132</v>
      </c>
      <c r="B110" s="3" t="s">
        <v>133</v>
      </c>
      <c r="C110" s="3">
        <v>4</v>
      </c>
      <c r="D110" s="3"/>
      <c r="E110" s="3" t="s">
        <v>75</v>
      </c>
      <c r="F110" s="3" t="s">
        <v>76</v>
      </c>
      <c r="G110" s="3" t="s">
        <v>137</v>
      </c>
      <c r="H110" s="3" t="s">
        <v>138</v>
      </c>
      <c r="I110" s="3" t="s">
        <v>139</v>
      </c>
      <c r="J110" s="3" t="s">
        <v>140</v>
      </c>
    </row>
    <row r="111" spans="1:10" x14ac:dyDescent="0.3">
      <c r="B111" t="s">
        <v>24</v>
      </c>
      <c r="C111">
        <v>3</v>
      </c>
      <c r="D111" t="s">
        <v>21</v>
      </c>
    </row>
    <row r="112" spans="1:10" x14ac:dyDescent="0.3">
      <c r="B112" t="s">
        <v>16</v>
      </c>
      <c r="C112">
        <v>2</v>
      </c>
    </row>
    <row r="113" spans="1:10" x14ac:dyDescent="0.3">
      <c r="B113" t="s">
        <v>134</v>
      </c>
      <c r="C113">
        <v>3</v>
      </c>
      <c r="D113" t="s">
        <v>36</v>
      </c>
    </row>
    <row r="114" spans="1:10" x14ac:dyDescent="0.3">
      <c r="B114" t="s">
        <v>135</v>
      </c>
      <c r="C114">
        <v>3</v>
      </c>
      <c r="D114" t="s">
        <v>36</v>
      </c>
    </row>
    <row r="115" spans="1:10" x14ac:dyDescent="0.3">
      <c r="B115" t="s">
        <v>136</v>
      </c>
    </row>
    <row r="116" spans="1:10" x14ac:dyDescent="0.3">
      <c r="B116" t="s">
        <v>31</v>
      </c>
    </row>
    <row r="117" spans="1:10" x14ac:dyDescent="0.3">
      <c r="B117" t="s">
        <v>71</v>
      </c>
      <c r="C117">
        <v>25</v>
      </c>
      <c r="D117" t="s">
        <v>20</v>
      </c>
    </row>
    <row r="118" spans="1:10" x14ac:dyDescent="0.3">
      <c r="A118" s="3" t="s">
        <v>141</v>
      </c>
      <c r="B118" s="3" t="s">
        <v>142</v>
      </c>
      <c r="C118" s="3">
        <v>25</v>
      </c>
      <c r="D118" s="3" t="s">
        <v>20</v>
      </c>
      <c r="E118" s="3" t="s">
        <v>42</v>
      </c>
      <c r="F118" s="3" t="s">
        <v>152</v>
      </c>
      <c r="G118" s="3">
        <v>8</v>
      </c>
      <c r="H118" s="3" t="s">
        <v>153</v>
      </c>
      <c r="I118" s="3" t="s">
        <v>154</v>
      </c>
      <c r="J118" s="3" t="s">
        <v>155</v>
      </c>
    </row>
    <row r="119" spans="1:10" x14ac:dyDescent="0.3">
      <c r="B119" t="s">
        <v>47</v>
      </c>
      <c r="C119">
        <v>275</v>
      </c>
      <c r="D119" t="s">
        <v>25</v>
      </c>
    </row>
    <row r="120" spans="1:10" x14ac:dyDescent="0.3">
      <c r="B120" t="s">
        <v>125</v>
      </c>
      <c r="C120">
        <v>75</v>
      </c>
      <c r="D120" t="s">
        <v>20</v>
      </c>
    </row>
    <row r="121" spans="1:10" x14ac:dyDescent="0.3">
      <c r="B121" t="s">
        <v>143</v>
      </c>
      <c r="C121">
        <v>110</v>
      </c>
      <c r="D121" t="s">
        <v>20</v>
      </c>
    </row>
    <row r="122" spans="1:10" x14ac:dyDescent="0.3">
      <c r="B122" t="s">
        <v>26</v>
      </c>
      <c r="C122">
        <v>2</v>
      </c>
    </row>
    <row r="123" spans="1:10" x14ac:dyDescent="0.3">
      <c r="B123" t="s">
        <v>144</v>
      </c>
      <c r="C123">
        <v>2</v>
      </c>
    </row>
    <row r="124" spans="1:10" x14ac:dyDescent="0.3">
      <c r="B124" t="s">
        <v>11</v>
      </c>
      <c r="C124">
        <v>1</v>
      </c>
    </row>
    <row r="125" spans="1:10" x14ac:dyDescent="0.3">
      <c r="B125" t="s">
        <v>145</v>
      </c>
      <c r="C125">
        <v>1</v>
      </c>
    </row>
    <row r="126" spans="1:10" x14ac:dyDescent="0.3">
      <c r="B126" t="s">
        <v>146</v>
      </c>
      <c r="C126">
        <v>2</v>
      </c>
    </row>
    <row r="127" spans="1:10" x14ac:dyDescent="0.3">
      <c r="B127" t="s">
        <v>59</v>
      </c>
      <c r="C127" s="2">
        <v>1.5</v>
      </c>
      <c r="D127" t="s">
        <v>36</v>
      </c>
    </row>
    <row r="128" spans="1:10" x14ac:dyDescent="0.3">
      <c r="B128" t="s">
        <v>16</v>
      </c>
      <c r="C128">
        <v>2</v>
      </c>
    </row>
    <row r="129" spans="2:4" x14ac:dyDescent="0.3">
      <c r="B129" t="s">
        <v>147</v>
      </c>
      <c r="C129">
        <v>2</v>
      </c>
      <c r="D129" t="s">
        <v>148</v>
      </c>
    </row>
    <row r="130" spans="2:4" x14ac:dyDescent="0.3">
      <c r="B130" t="s">
        <v>149</v>
      </c>
      <c r="C130">
        <v>225</v>
      </c>
      <c r="D130" t="s">
        <v>20</v>
      </c>
    </row>
    <row r="131" spans="2:4" x14ac:dyDescent="0.3">
      <c r="B131" t="s">
        <v>52</v>
      </c>
      <c r="C131">
        <v>110</v>
      </c>
      <c r="D131" t="s">
        <v>20</v>
      </c>
    </row>
    <row r="132" spans="2:4" x14ac:dyDescent="0.3">
      <c r="B132" t="s">
        <v>150</v>
      </c>
      <c r="C132">
        <v>75</v>
      </c>
      <c r="D132" t="s">
        <v>25</v>
      </c>
    </row>
    <row r="133" spans="2:4" x14ac:dyDescent="0.3">
      <c r="B133" t="s">
        <v>151</v>
      </c>
      <c r="C133">
        <v>75</v>
      </c>
      <c r="D133" t="s">
        <v>25</v>
      </c>
    </row>
    <row r="134" spans="2:4" x14ac:dyDescent="0.3">
      <c r="B134" t="s">
        <v>39</v>
      </c>
      <c r="C134">
        <v>10</v>
      </c>
      <c r="D134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536C-32A8-4D4C-A274-7B82E051D4B6}">
  <dimension ref="A2:V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56" sqref="G56"/>
    </sheetView>
  </sheetViews>
  <sheetFormatPr defaultRowHeight="14.4" x14ac:dyDescent="0.3"/>
  <cols>
    <col min="1" max="1" width="27" bestFit="1" customWidth="1"/>
    <col min="2" max="2" width="19.88671875" bestFit="1" customWidth="1"/>
    <col min="3" max="3" width="19.88671875" customWidth="1"/>
    <col min="4" max="4" width="7.33203125" bestFit="1" customWidth="1"/>
    <col min="5" max="5" width="4.44140625" bestFit="1" customWidth="1"/>
    <col min="6" max="6" width="6.6640625" bestFit="1" customWidth="1"/>
    <col min="7" max="7" width="6.21875" bestFit="1" customWidth="1"/>
    <col min="8" max="8" width="9.21875" bestFit="1" customWidth="1"/>
    <col min="9" max="9" width="11.5546875" bestFit="1" customWidth="1"/>
    <col min="10" max="10" width="11.5546875" customWidth="1"/>
    <col min="11" max="11" width="6.6640625" bestFit="1" customWidth="1"/>
    <col min="12" max="12" width="14.88671875" bestFit="1" customWidth="1"/>
    <col min="13" max="13" width="28" bestFit="1" customWidth="1"/>
    <col min="14" max="14" width="11" bestFit="1" customWidth="1"/>
    <col min="15" max="15" width="9.6640625" bestFit="1" customWidth="1"/>
    <col min="17" max="17" width="10.33203125" bestFit="1" customWidth="1"/>
  </cols>
  <sheetData>
    <row r="2" spans="1:22" x14ac:dyDescent="0.3">
      <c r="A2" t="s">
        <v>0</v>
      </c>
    </row>
    <row r="3" spans="1:22" ht="15" thickBot="1" x14ac:dyDescent="0.35">
      <c r="A3" s="4" t="s">
        <v>306</v>
      </c>
      <c r="B3" s="4" t="s">
        <v>3</v>
      </c>
      <c r="C3" s="4" t="s">
        <v>288</v>
      </c>
      <c r="D3" s="4" t="s">
        <v>9</v>
      </c>
      <c r="E3" s="4" t="s">
        <v>43</v>
      </c>
      <c r="F3" s="4" t="s">
        <v>297</v>
      </c>
      <c r="G3" s="4" t="s">
        <v>298</v>
      </c>
      <c r="H3" s="4" t="s">
        <v>4</v>
      </c>
      <c r="I3" s="4" t="s">
        <v>10</v>
      </c>
      <c r="J3" s="4" t="s">
        <v>304</v>
      </c>
      <c r="K3" s="4" t="s">
        <v>5</v>
      </c>
      <c r="L3" s="4" t="s">
        <v>2</v>
      </c>
      <c r="M3" s="4" t="s">
        <v>6</v>
      </c>
      <c r="N3" t="s">
        <v>305</v>
      </c>
      <c r="O3" t="s">
        <v>80</v>
      </c>
      <c r="R3" t="s">
        <v>276</v>
      </c>
      <c r="V3" t="s">
        <v>277</v>
      </c>
    </row>
    <row r="4" spans="1:22" ht="15" thickTop="1" x14ac:dyDescent="0.3">
      <c r="A4" t="s">
        <v>7</v>
      </c>
      <c r="B4" t="s">
        <v>11</v>
      </c>
      <c r="C4">
        <v>3</v>
      </c>
      <c r="D4">
        <v>1</v>
      </c>
      <c r="F4" t="s">
        <v>299</v>
      </c>
      <c r="G4">
        <v>7</v>
      </c>
      <c r="H4" s="20">
        <v>1.7361111111111112E-2</v>
      </c>
      <c r="I4" s="20">
        <v>5.9027777777777776E-2</v>
      </c>
      <c r="J4" s="22">
        <v>45942</v>
      </c>
      <c r="K4" s="1" t="s">
        <v>14</v>
      </c>
      <c r="L4" t="s">
        <v>8</v>
      </c>
      <c r="M4" t="s">
        <v>287</v>
      </c>
      <c r="N4">
        <v>1</v>
      </c>
      <c r="O4" s="8" t="s">
        <v>81</v>
      </c>
      <c r="R4" t="s">
        <v>178</v>
      </c>
      <c r="S4">
        <v>1</v>
      </c>
      <c r="U4">
        <v>1</v>
      </c>
      <c r="V4" t="s">
        <v>278</v>
      </c>
    </row>
    <row r="5" spans="1:22" x14ac:dyDescent="0.3">
      <c r="A5" t="s">
        <v>7</v>
      </c>
      <c r="B5" t="s">
        <v>16</v>
      </c>
      <c r="C5">
        <v>3</v>
      </c>
      <c r="D5">
        <v>6</v>
      </c>
      <c r="F5" t="s">
        <v>301</v>
      </c>
      <c r="G5">
        <v>8</v>
      </c>
      <c r="H5" s="20">
        <v>1.7361111111111112E-2</v>
      </c>
      <c r="I5" s="20">
        <v>5.9027777777777776E-2</v>
      </c>
      <c r="J5" s="22">
        <v>45942</v>
      </c>
      <c r="M5" t="s">
        <v>287</v>
      </c>
      <c r="N5">
        <v>1</v>
      </c>
      <c r="R5" t="s">
        <v>179</v>
      </c>
      <c r="S5">
        <v>2</v>
      </c>
      <c r="U5">
        <v>2</v>
      </c>
      <c r="V5" t="s">
        <v>279</v>
      </c>
    </row>
    <row r="6" spans="1:22" x14ac:dyDescent="0.3">
      <c r="A6" t="s">
        <v>7</v>
      </c>
      <c r="B6" t="s">
        <v>40</v>
      </c>
      <c r="C6">
        <v>7</v>
      </c>
      <c r="D6">
        <v>45</v>
      </c>
      <c r="E6" t="s">
        <v>20</v>
      </c>
      <c r="F6" t="s">
        <v>20</v>
      </c>
      <c r="G6">
        <v>1</v>
      </c>
      <c r="H6" s="20">
        <v>1.7361111111111112E-2</v>
      </c>
      <c r="I6" s="20">
        <v>5.9027777777777776E-2</v>
      </c>
      <c r="J6" s="22">
        <v>45942</v>
      </c>
      <c r="M6" t="s">
        <v>287</v>
      </c>
      <c r="N6">
        <v>1</v>
      </c>
      <c r="R6" t="s">
        <v>180</v>
      </c>
      <c r="S6">
        <v>3</v>
      </c>
      <c r="U6">
        <v>3</v>
      </c>
      <c r="V6" t="s">
        <v>280</v>
      </c>
    </row>
    <row r="7" spans="1:22" x14ac:dyDescent="0.3">
      <c r="A7" t="s">
        <v>7</v>
      </c>
      <c r="B7" t="s">
        <v>18</v>
      </c>
      <c r="C7">
        <v>8</v>
      </c>
      <c r="D7">
        <v>2.5</v>
      </c>
      <c r="E7" t="s">
        <v>21</v>
      </c>
      <c r="F7" t="s">
        <v>21</v>
      </c>
      <c r="G7">
        <v>6</v>
      </c>
      <c r="H7" s="20">
        <v>1.7361111111111112E-2</v>
      </c>
      <c r="I7" s="20">
        <v>5.9027777777777776E-2</v>
      </c>
      <c r="J7" s="22">
        <v>45942</v>
      </c>
      <c r="M7" t="s">
        <v>287</v>
      </c>
      <c r="N7">
        <v>1</v>
      </c>
      <c r="R7" t="s">
        <v>181</v>
      </c>
      <c r="S7">
        <v>4</v>
      </c>
      <c r="U7">
        <v>4</v>
      </c>
      <c r="V7" t="s">
        <v>281</v>
      </c>
    </row>
    <row r="8" spans="1:22" x14ac:dyDescent="0.3">
      <c r="A8" t="s">
        <v>7</v>
      </c>
      <c r="B8" t="s">
        <v>19</v>
      </c>
      <c r="C8">
        <v>10</v>
      </c>
      <c r="D8">
        <v>2</v>
      </c>
      <c r="E8" t="s">
        <v>21</v>
      </c>
      <c r="F8" t="s">
        <v>21</v>
      </c>
      <c r="G8">
        <v>6</v>
      </c>
      <c r="H8" s="20">
        <v>1.7361111111111112E-2</v>
      </c>
      <c r="I8" s="20">
        <v>5.9027777777777776E-2</v>
      </c>
      <c r="J8" s="22">
        <v>45942</v>
      </c>
      <c r="M8" t="s">
        <v>287</v>
      </c>
      <c r="N8">
        <v>1</v>
      </c>
      <c r="R8" t="s">
        <v>182</v>
      </c>
      <c r="S8">
        <v>5</v>
      </c>
      <c r="U8">
        <v>5</v>
      </c>
      <c r="V8" t="s">
        <v>282</v>
      </c>
    </row>
    <row r="9" spans="1:22" x14ac:dyDescent="0.3">
      <c r="A9" t="s">
        <v>7</v>
      </c>
      <c r="B9" t="s">
        <v>22</v>
      </c>
      <c r="C9">
        <v>10</v>
      </c>
      <c r="D9">
        <v>2.5</v>
      </c>
      <c r="E9" t="s">
        <v>21</v>
      </c>
      <c r="F9" t="s">
        <v>21</v>
      </c>
      <c r="G9">
        <v>6</v>
      </c>
      <c r="H9" s="20">
        <v>1.7361111111111112E-2</v>
      </c>
      <c r="I9" s="20">
        <v>5.9027777777777776E-2</v>
      </c>
      <c r="J9" s="22">
        <v>45942</v>
      </c>
      <c r="M9" t="s">
        <v>287</v>
      </c>
      <c r="N9">
        <v>1</v>
      </c>
      <c r="R9" t="s">
        <v>183</v>
      </c>
      <c r="S9">
        <v>6</v>
      </c>
      <c r="U9">
        <v>6</v>
      </c>
      <c r="V9" t="s">
        <v>283</v>
      </c>
    </row>
    <row r="10" spans="1:22" x14ac:dyDescent="0.3">
      <c r="A10" t="s">
        <v>7</v>
      </c>
      <c r="B10" t="s">
        <v>23</v>
      </c>
      <c r="C10">
        <v>10</v>
      </c>
      <c r="D10">
        <v>3</v>
      </c>
      <c r="E10" t="s">
        <v>21</v>
      </c>
      <c r="F10" t="s">
        <v>21</v>
      </c>
      <c r="G10">
        <v>6</v>
      </c>
      <c r="H10" s="20">
        <v>1.7361111111111112E-2</v>
      </c>
      <c r="I10" s="20">
        <v>5.9027777777777776E-2</v>
      </c>
      <c r="J10" s="22">
        <v>45942</v>
      </c>
      <c r="M10" t="s">
        <v>287</v>
      </c>
      <c r="N10">
        <v>1</v>
      </c>
      <c r="R10" t="s">
        <v>184</v>
      </c>
      <c r="S10">
        <v>7</v>
      </c>
      <c r="U10">
        <v>7</v>
      </c>
      <c r="V10" t="s">
        <v>284</v>
      </c>
    </row>
    <row r="11" spans="1:22" x14ac:dyDescent="0.3">
      <c r="A11" t="s">
        <v>7</v>
      </c>
      <c r="B11" t="s">
        <v>24</v>
      </c>
      <c r="C11">
        <v>9</v>
      </c>
      <c r="D11">
        <v>90</v>
      </c>
      <c r="E11" t="s">
        <v>25</v>
      </c>
      <c r="F11" t="s">
        <v>21</v>
      </c>
      <c r="G11">
        <v>6</v>
      </c>
      <c r="H11" s="20">
        <v>1.7361111111111112E-2</v>
      </c>
      <c r="I11" s="20">
        <v>5.9027777777777776E-2</v>
      </c>
      <c r="J11" s="22">
        <v>45942</v>
      </c>
      <c r="M11" t="s">
        <v>287</v>
      </c>
      <c r="N11">
        <v>1</v>
      </c>
      <c r="R11" t="s">
        <v>185</v>
      </c>
      <c r="S11">
        <v>8</v>
      </c>
      <c r="U11">
        <v>8</v>
      </c>
      <c r="V11" t="s">
        <v>285</v>
      </c>
    </row>
    <row r="12" spans="1:22" x14ac:dyDescent="0.3">
      <c r="A12" t="s">
        <v>7</v>
      </c>
      <c r="B12" t="s">
        <v>26</v>
      </c>
      <c r="C12">
        <v>3</v>
      </c>
      <c r="D12">
        <v>800</v>
      </c>
      <c r="E12" t="s">
        <v>299</v>
      </c>
      <c r="F12" t="s">
        <v>20</v>
      </c>
      <c r="G12">
        <v>1</v>
      </c>
      <c r="H12" s="20">
        <v>1.7361111111111112E-2</v>
      </c>
      <c r="I12" s="20">
        <v>5.9027777777777776E-2</v>
      </c>
      <c r="J12" s="22">
        <v>45942</v>
      </c>
      <c r="M12" t="s">
        <v>287</v>
      </c>
      <c r="N12">
        <v>1</v>
      </c>
      <c r="R12" t="s">
        <v>186</v>
      </c>
      <c r="S12">
        <v>9</v>
      </c>
      <c r="U12">
        <v>9</v>
      </c>
      <c r="V12" t="s">
        <v>286</v>
      </c>
    </row>
    <row r="13" spans="1:22" x14ac:dyDescent="0.3">
      <c r="A13" t="s">
        <v>7</v>
      </c>
      <c r="B13" t="s">
        <v>65</v>
      </c>
      <c r="C13">
        <v>10</v>
      </c>
      <c r="D13">
        <v>2</v>
      </c>
      <c r="E13" t="s">
        <v>27</v>
      </c>
      <c r="F13" t="s">
        <v>300</v>
      </c>
      <c r="G13">
        <v>10</v>
      </c>
      <c r="H13" s="20">
        <v>1.7361111111111112E-2</v>
      </c>
      <c r="I13" s="20">
        <v>5.9027777777777776E-2</v>
      </c>
      <c r="J13" s="22">
        <v>45942</v>
      </c>
      <c r="M13" t="s">
        <v>287</v>
      </c>
      <c r="N13">
        <v>1</v>
      </c>
      <c r="R13" t="s">
        <v>187</v>
      </c>
      <c r="S13">
        <v>10</v>
      </c>
    </row>
    <row r="14" spans="1:22" x14ac:dyDescent="0.3">
      <c r="A14" t="s">
        <v>7</v>
      </c>
      <c r="B14" t="s">
        <v>28</v>
      </c>
      <c r="C14">
        <v>1</v>
      </c>
      <c r="D14">
        <v>8</v>
      </c>
      <c r="F14" t="s">
        <v>299</v>
      </c>
      <c r="G14">
        <v>7</v>
      </c>
      <c r="H14" s="20">
        <v>1.7361111111111112E-2</v>
      </c>
      <c r="I14" s="20">
        <v>5.9027777777777776E-2</v>
      </c>
      <c r="J14" s="22">
        <v>45942</v>
      </c>
      <c r="M14" t="s">
        <v>287</v>
      </c>
      <c r="N14">
        <v>1</v>
      </c>
      <c r="R14" t="s">
        <v>191</v>
      </c>
      <c r="S14">
        <v>11</v>
      </c>
    </row>
    <row r="15" spans="1:22" x14ac:dyDescent="0.3">
      <c r="A15" t="s">
        <v>7</v>
      </c>
      <c r="B15" t="s">
        <v>29</v>
      </c>
      <c r="C15">
        <v>4</v>
      </c>
      <c r="D15">
        <v>3</v>
      </c>
      <c r="F15" t="s">
        <v>299</v>
      </c>
      <c r="G15">
        <v>7</v>
      </c>
      <c r="H15" s="20">
        <v>1.7361111111111112E-2</v>
      </c>
      <c r="I15" s="20">
        <v>5.9027777777777776E-2</v>
      </c>
      <c r="J15" s="22">
        <v>45942</v>
      </c>
      <c r="M15" t="s">
        <v>287</v>
      </c>
      <c r="N15">
        <v>1</v>
      </c>
      <c r="R15" t="s">
        <v>190</v>
      </c>
      <c r="S15">
        <v>12</v>
      </c>
    </row>
    <row r="16" spans="1:22" x14ac:dyDescent="0.3">
      <c r="A16" t="s">
        <v>7</v>
      </c>
      <c r="B16" t="s">
        <v>30</v>
      </c>
      <c r="C16">
        <v>12</v>
      </c>
      <c r="D16">
        <v>0.1</v>
      </c>
      <c r="F16" t="s">
        <v>36</v>
      </c>
      <c r="G16">
        <v>5</v>
      </c>
      <c r="H16" s="20">
        <v>1.7361111111111112E-2</v>
      </c>
      <c r="I16" s="20">
        <v>5.9027777777777776E-2</v>
      </c>
      <c r="J16" s="22">
        <v>45942</v>
      </c>
      <c r="M16" t="s">
        <v>287</v>
      </c>
      <c r="N16">
        <v>1</v>
      </c>
      <c r="R16" t="s">
        <v>192</v>
      </c>
      <c r="S16">
        <v>13</v>
      </c>
    </row>
    <row r="17" spans="1:17" x14ac:dyDescent="0.3">
      <c r="A17" t="s">
        <v>7</v>
      </c>
      <c r="B17" t="s">
        <v>31</v>
      </c>
      <c r="C17">
        <v>8</v>
      </c>
      <c r="D17">
        <v>0.1</v>
      </c>
      <c r="F17" t="s">
        <v>36</v>
      </c>
      <c r="G17">
        <v>5</v>
      </c>
      <c r="H17" s="20">
        <v>1.7361111111111112E-2</v>
      </c>
      <c r="I17" s="20">
        <v>5.9027777777777776E-2</v>
      </c>
      <c r="J17" s="22">
        <v>45942</v>
      </c>
      <c r="M17" t="s">
        <v>287</v>
      </c>
      <c r="N17">
        <v>1</v>
      </c>
    </row>
    <row r="18" spans="1:17" x14ac:dyDescent="0.3">
      <c r="A18" s="3" t="s">
        <v>307</v>
      </c>
      <c r="B18" s="3" t="s">
        <v>33</v>
      </c>
      <c r="C18">
        <v>2</v>
      </c>
      <c r="D18" s="3">
        <v>4</v>
      </c>
      <c r="E18" s="3"/>
      <c r="F18" t="s">
        <v>299</v>
      </c>
      <c r="G18">
        <v>7</v>
      </c>
      <c r="H18" s="20">
        <v>3.472222222222222E-3</v>
      </c>
      <c r="I18" s="21">
        <v>1.3888888888888888E-2</v>
      </c>
      <c r="J18" s="22">
        <v>45988</v>
      </c>
      <c r="K18" s="3">
        <v>4</v>
      </c>
      <c r="L18" s="3" t="s">
        <v>8</v>
      </c>
      <c r="M18" s="3" t="s">
        <v>287</v>
      </c>
      <c r="N18">
        <v>1</v>
      </c>
      <c r="O18" s="3" t="s">
        <v>81</v>
      </c>
    </row>
    <row r="19" spans="1:17" x14ac:dyDescent="0.3">
      <c r="A19" s="3" t="s">
        <v>307</v>
      </c>
      <c r="B19" t="s">
        <v>34</v>
      </c>
      <c r="C19">
        <v>8</v>
      </c>
      <c r="D19">
        <v>2</v>
      </c>
      <c r="E19" t="s">
        <v>21</v>
      </c>
      <c r="F19" t="s">
        <v>21</v>
      </c>
      <c r="G19">
        <v>6</v>
      </c>
      <c r="H19" s="20">
        <v>3.472222222222222E-3</v>
      </c>
      <c r="I19" s="21">
        <v>1.3888888888888888E-2</v>
      </c>
      <c r="J19" s="22">
        <v>45988</v>
      </c>
      <c r="M19" s="3" t="s">
        <v>287</v>
      </c>
      <c r="N19">
        <v>1</v>
      </c>
    </row>
    <row r="20" spans="1:17" x14ac:dyDescent="0.3">
      <c r="A20" s="3" t="s">
        <v>307</v>
      </c>
      <c r="B20" t="s">
        <v>35</v>
      </c>
      <c r="C20">
        <v>8</v>
      </c>
      <c r="D20">
        <v>2</v>
      </c>
      <c r="E20" t="s">
        <v>36</v>
      </c>
      <c r="F20" t="s">
        <v>36</v>
      </c>
      <c r="G20">
        <v>5</v>
      </c>
      <c r="H20" s="20">
        <v>3.472222222222222E-3</v>
      </c>
      <c r="I20" s="21">
        <v>1.3888888888888888E-2</v>
      </c>
      <c r="J20" s="22">
        <v>45988</v>
      </c>
      <c r="M20" s="3" t="s">
        <v>287</v>
      </c>
      <c r="N20">
        <v>1</v>
      </c>
    </row>
    <row r="21" spans="1:17" x14ac:dyDescent="0.3">
      <c r="A21" s="3" t="s">
        <v>307</v>
      </c>
      <c r="B21" t="s">
        <v>24</v>
      </c>
      <c r="C21">
        <v>9</v>
      </c>
      <c r="D21">
        <v>60</v>
      </c>
      <c r="E21" t="s">
        <v>25</v>
      </c>
      <c r="F21" t="s">
        <v>25</v>
      </c>
      <c r="G21">
        <v>3</v>
      </c>
      <c r="H21" s="20">
        <v>3.472222222222222E-3</v>
      </c>
      <c r="I21" s="21">
        <v>1.3888888888888888E-2</v>
      </c>
      <c r="J21" s="22">
        <v>45988</v>
      </c>
      <c r="M21" s="3" t="s">
        <v>287</v>
      </c>
      <c r="N21">
        <v>1</v>
      </c>
      <c r="Q21" s="22">
        <v>45303</v>
      </c>
    </row>
    <row r="22" spans="1:17" x14ac:dyDescent="0.3">
      <c r="A22" s="3" t="s">
        <v>307</v>
      </c>
      <c r="B22" t="s">
        <v>37</v>
      </c>
      <c r="C22">
        <v>3</v>
      </c>
      <c r="D22">
        <v>250</v>
      </c>
      <c r="E22" t="s">
        <v>20</v>
      </c>
      <c r="F22" t="s">
        <v>20</v>
      </c>
      <c r="G22">
        <v>1</v>
      </c>
      <c r="H22" s="20">
        <v>3.472222222222222E-3</v>
      </c>
      <c r="I22" s="21">
        <v>1.3888888888888888E-2</v>
      </c>
      <c r="J22" s="22">
        <v>45988</v>
      </c>
      <c r="M22" s="3" t="s">
        <v>287</v>
      </c>
      <c r="N22">
        <v>1</v>
      </c>
      <c r="Q22" s="22">
        <v>45359</v>
      </c>
    </row>
    <row r="23" spans="1:17" x14ac:dyDescent="0.3">
      <c r="A23" s="3" t="s">
        <v>307</v>
      </c>
      <c r="B23" t="s">
        <v>38</v>
      </c>
      <c r="C23">
        <v>10</v>
      </c>
      <c r="D23">
        <v>90</v>
      </c>
      <c r="E23" t="s">
        <v>20</v>
      </c>
      <c r="F23" t="s">
        <v>20</v>
      </c>
      <c r="G23">
        <v>1</v>
      </c>
      <c r="H23" s="20">
        <v>3.472222222222222E-3</v>
      </c>
      <c r="I23" s="21">
        <v>1.3888888888888888E-2</v>
      </c>
      <c r="J23" s="22">
        <v>45988</v>
      </c>
      <c r="M23" s="3" t="s">
        <v>287</v>
      </c>
      <c r="N23">
        <v>1</v>
      </c>
      <c r="Q23" s="22">
        <v>45433</v>
      </c>
    </row>
    <row r="24" spans="1:17" x14ac:dyDescent="0.3">
      <c r="A24" s="3" t="s">
        <v>307</v>
      </c>
      <c r="B24" t="s">
        <v>16</v>
      </c>
      <c r="C24">
        <v>3</v>
      </c>
      <c r="D24">
        <v>3</v>
      </c>
      <c r="F24" t="s">
        <v>301</v>
      </c>
      <c r="G24">
        <v>8</v>
      </c>
      <c r="H24" s="20">
        <v>3.472222222222222E-3</v>
      </c>
      <c r="I24" s="21">
        <v>1.3888888888888888E-2</v>
      </c>
      <c r="J24" s="22">
        <v>45988</v>
      </c>
      <c r="M24" s="3" t="s">
        <v>287</v>
      </c>
      <c r="N24">
        <v>1</v>
      </c>
      <c r="Q24" s="22">
        <v>45487</v>
      </c>
    </row>
    <row r="25" spans="1:17" x14ac:dyDescent="0.3">
      <c r="A25" s="3" t="s">
        <v>307</v>
      </c>
      <c r="B25" t="s">
        <v>39</v>
      </c>
      <c r="C25">
        <v>4</v>
      </c>
      <c r="D25">
        <v>3.5</v>
      </c>
      <c r="E25" t="s">
        <v>21</v>
      </c>
      <c r="F25" t="s">
        <v>21</v>
      </c>
      <c r="G25">
        <v>6</v>
      </c>
      <c r="H25" s="20">
        <v>3.472222222222222E-3</v>
      </c>
      <c r="I25" s="21">
        <v>1.3888888888888888E-2</v>
      </c>
      <c r="J25" s="22">
        <v>45988</v>
      </c>
      <c r="M25" s="3" t="s">
        <v>287</v>
      </c>
      <c r="N25">
        <v>1</v>
      </c>
      <c r="Q25" s="22">
        <v>45538</v>
      </c>
    </row>
    <row r="26" spans="1:17" x14ac:dyDescent="0.3">
      <c r="A26" s="3" t="s">
        <v>307</v>
      </c>
      <c r="B26" t="s">
        <v>40</v>
      </c>
      <c r="C26">
        <v>7</v>
      </c>
      <c r="D26">
        <v>1.5</v>
      </c>
      <c r="E26" t="s">
        <v>21</v>
      </c>
      <c r="F26" t="s">
        <v>303</v>
      </c>
      <c r="G26">
        <v>11</v>
      </c>
      <c r="H26" s="20">
        <v>3.472222222222222E-3</v>
      </c>
      <c r="I26" s="21">
        <v>1.3888888888888888E-2</v>
      </c>
      <c r="J26" s="22">
        <v>45988</v>
      </c>
      <c r="M26" s="3" t="s">
        <v>287</v>
      </c>
      <c r="N26">
        <v>1</v>
      </c>
      <c r="Q26" s="22">
        <v>45584</v>
      </c>
    </row>
    <row r="27" spans="1:17" x14ac:dyDescent="0.3">
      <c r="A27" s="3" t="s">
        <v>307</v>
      </c>
      <c r="B27" t="s">
        <v>30</v>
      </c>
      <c r="C27">
        <v>12</v>
      </c>
      <c r="F27" t="s">
        <v>36</v>
      </c>
      <c r="G27">
        <v>5</v>
      </c>
      <c r="H27" s="20">
        <v>3.472222222222222E-3</v>
      </c>
      <c r="I27" s="21">
        <v>1.3888888888888888E-2</v>
      </c>
      <c r="J27" s="22">
        <v>45988</v>
      </c>
      <c r="M27" s="3" t="s">
        <v>287</v>
      </c>
      <c r="N27">
        <v>1</v>
      </c>
      <c r="Q27" s="22">
        <v>45631</v>
      </c>
    </row>
    <row r="28" spans="1:17" x14ac:dyDescent="0.3">
      <c r="A28" s="3" t="s">
        <v>307</v>
      </c>
      <c r="B28" t="s">
        <v>31</v>
      </c>
      <c r="C28">
        <v>8</v>
      </c>
      <c r="F28" t="s">
        <v>36</v>
      </c>
      <c r="G28">
        <v>5</v>
      </c>
      <c r="H28" s="20">
        <v>3.472222222222222E-3</v>
      </c>
      <c r="I28" s="21">
        <v>1.3888888888888888E-2</v>
      </c>
      <c r="J28" s="22">
        <v>45988</v>
      </c>
      <c r="M28" s="3" t="s">
        <v>287</v>
      </c>
      <c r="N28">
        <v>1</v>
      </c>
      <c r="Q28" s="22">
        <v>45699</v>
      </c>
    </row>
    <row r="29" spans="1:17" x14ac:dyDescent="0.3">
      <c r="A29" s="3" t="s">
        <v>44</v>
      </c>
      <c r="B29" s="3" t="s">
        <v>45</v>
      </c>
      <c r="C29">
        <v>5</v>
      </c>
      <c r="D29" s="3">
        <v>400</v>
      </c>
      <c r="E29" s="3" t="s">
        <v>20</v>
      </c>
      <c r="F29" t="s">
        <v>20</v>
      </c>
      <c r="G29">
        <v>1</v>
      </c>
      <c r="H29" s="20">
        <v>3.472222222222222E-3</v>
      </c>
      <c r="I29" s="21">
        <v>1.7361111111111112E-2</v>
      </c>
      <c r="J29" s="22">
        <v>45988</v>
      </c>
      <c r="K29" s="3">
        <v>6</v>
      </c>
      <c r="L29" s="3" t="s">
        <v>8</v>
      </c>
      <c r="M29" s="3" t="s">
        <v>56</v>
      </c>
      <c r="N29" s="3">
        <v>2</v>
      </c>
      <c r="O29" s="3" t="s">
        <v>82</v>
      </c>
      <c r="Q29" s="22">
        <v>45835</v>
      </c>
    </row>
    <row r="30" spans="1:17" x14ac:dyDescent="0.3">
      <c r="A30" s="3" t="s">
        <v>44</v>
      </c>
      <c r="B30" t="s">
        <v>46</v>
      </c>
      <c r="C30">
        <v>6</v>
      </c>
      <c r="D30">
        <v>50</v>
      </c>
      <c r="E30" t="s">
        <v>20</v>
      </c>
      <c r="F30" t="s">
        <v>20</v>
      </c>
      <c r="G30">
        <v>1</v>
      </c>
      <c r="H30" s="20">
        <v>3.472222222222222E-3</v>
      </c>
      <c r="I30" s="21">
        <v>1.7361111111111112E-2</v>
      </c>
      <c r="J30" s="22">
        <v>45988</v>
      </c>
      <c r="M30" s="3" t="s">
        <v>56</v>
      </c>
      <c r="N30" s="3">
        <v>2</v>
      </c>
      <c r="Q30" s="22">
        <v>46249</v>
      </c>
    </row>
    <row r="31" spans="1:17" x14ac:dyDescent="0.3">
      <c r="A31" s="3" t="s">
        <v>44</v>
      </c>
      <c r="B31" t="s">
        <v>47</v>
      </c>
      <c r="C31">
        <v>13</v>
      </c>
      <c r="D31">
        <v>800</v>
      </c>
      <c r="E31" t="s">
        <v>25</v>
      </c>
      <c r="F31" t="s">
        <v>25</v>
      </c>
      <c r="G31">
        <v>3</v>
      </c>
      <c r="H31" s="20">
        <v>3.472222222222222E-3</v>
      </c>
      <c r="I31" s="21">
        <v>1.7361111111111112E-2</v>
      </c>
      <c r="J31" s="22">
        <v>45988</v>
      </c>
      <c r="M31" s="3" t="s">
        <v>56</v>
      </c>
      <c r="N31" s="3">
        <v>2</v>
      </c>
      <c r="Q31" s="22">
        <v>46328</v>
      </c>
    </row>
    <row r="32" spans="1:17" x14ac:dyDescent="0.3">
      <c r="A32" s="3" t="s">
        <v>44</v>
      </c>
      <c r="B32" t="s">
        <v>48</v>
      </c>
      <c r="C32">
        <v>7</v>
      </c>
      <c r="D32">
        <v>50</v>
      </c>
      <c r="E32" t="s">
        <v>20</v>
      </c>
      <c r="F32" t="s">
        <v>20</v>
      </c>
      <c r="G32">
        <v>1</v>
      </c>
      <c r="H32" s="20">
        <v>3.472222222222222E-3</v>
      </c>
      <c r="I32" s="21">
        <v>1.7361111111111112E-2</v>
      </c>
      <c r="J32" s="22">
        <v>45988</v>
      </c>
      <c r="M32" s="3" t="s">
        <v>56</v>
      </c>
      <c r="N32" s="3">
        <v>2</v>
      </c>
    </row>
    <row r="33" spans="1:15" x14ac:dyDescent="0.3">
      <c r="A33" s="3" t="s">
        <v>44</v>
      </c>
      <c r="B33" t="s">
        <v>49</v>
      </c>
      <c r="C33">
        <v>6</v>
      </c>
      <c r="D33">
        <v>150</v>
      </c>
      <c r="E33" t="s">
        <v>20</v>
      </c>
      <c r="F33" t="s">
        <v>20</v>
      </c>
      <c r="G33">
        <v>1</v>
      </c>
      <c r="H33" s="20">
        <v>3.472222222222222E-3</v>
      </c>
      <c r="I33" s="21">
        <v>1.7361111111111112E-2</v>
      </c>
      <c r="J33" s="22">
        <v>45988</v>
      </c>
      <c r="M33" s="3" t="s">
        <v>56</v>
      </c>
      <c r="N33" s="3">
        <v>2</v>
      </c>
    </row>
    <row r="34" spans="1:15" x14ac:dyDescent="0.3">
      <c r="A34" s="3" t="s">
        <v>44</v>
      </c>
      <c r="B34" t="s">
        <v>30</v>
      </c>
      <c r="C34">
        <v>12</v>
      </c>
      <c r="D34">
        <v>0.1</v>
      </c>
      <c r="F34" t="s">
        <v>36</v>
      </c>
      <c r="G34">
        <v>5</v>
      </c>
      <c r="H34" s="20">
        <v>3.472222222222222E-3</v>
      </c>
      <c r="I34" s="21">
        <v>1.7361111111111112E-2</v>
      </c>
      <c r="J34" s="22">
        <v>45988</v>
      </c>
      <c r="M34" s="3" t="s">
        <v>56</v>
      </c>
      <c r="N34" s="3">
        <v>2</v>
      </c>
    </row>
    <row r="35" spans="1:15" x14ac:dyDescent="0.3">
      <c r="A35" s="3" t="s">
        <v>44</v>
      </c>
      <c r="B35" t="s">
        <v>31</v>
      </c>
      <c r="C35">
        <v>8</v>
      </c>
      <c r="D35">
        <v>0.1</v>
      </c>
      <c r="F35" t="s">
        <v>36</v>
      </c>
      <c r="G35">
        <v>5</v>
      </c>
      <c r="H35" s="20">
        <v>3.472222222222222E-3</v>
      </c>
      <c r="I35" s="21">
        <v>1.7361111111111112E-2</v>
      </c>
      <c r="J35" s="22">
        <v>45988</v>
      </c>
      <c r="M35" s="3" t="s">
        <v>56</v>
      </c>
      <c r="N35" s="3">
        <v>2</v>
      </c>
    </row>
    <row r="36" spans="1:15" x14ac:dyDescent="0.3">
      <c r="A36" s="3" t="s">
        <v>44</v>
      </c>
      <c r="B36" t="s">
        <v>50</v>
      </c>
      <c r="C36">
        <v>13</v>
      </c>
      <c r="D36">
        <v>40</v>
      </c>
      <c r="E36" t="s">
        <v>20</v>
      </c>
      <c r="F36" t="s">
        <v>20</v>
      </c>
      <c r="G36">
        <v>1</v>
      </c>
      <c r="H36" s="20">
        <v>3.472222222222222E-3</v>
      </c>
      <c r="I36" s="21">
        <v>1.7361111111111112E-2</v>
      </c>
      <c r="J36" s="22">
        <v>45988</v>
      </c>
      <c r="M36" s="3" t="s">
        <v>56</v>
      </c>
      <c r="N36" s="3">
        <v>2</v>
      </c>
    </row>
    <row r="37" spans="1:15" x14ac:dyDescent="0.3">
      <c r="A37" s="3" t="s">
        <v>44</v>
      </c>
      <c r="B37" t="s">
        <v>51</v>
      </c>
      <c r="C37">
        <v>4</v>
      </c>
      <c r="D37">
        <v>90</v>
      </c>
      <c r="E37" t="s">
        <v>20</v>
      </c>
      <c r="F37" t="s">
        <v>20</v>
      </c>
      <c r="G37">
        <v>1</v>
      </c>
      <c r="H37" s="20">
        <v>3.472222222222222E-3</v>
      </c>
      <c r="I37" s="21">
        <v>1.7361111111111112E-2</v>
      </c>
      <c r="J37" s="22">
        <v>45988</v>
      </c>
      <c r="M37" s="3" t="s">
        <v>56</v>
      </c>
      <c r="N37" s="3">
        <v>2</v>
      </c>
    </row>
    <row r="38" spans="1:15" x14ac:dyDescent="0.3">
      <c r="A38" s="3" t="s">
        <v>44</v>
      </c>
      <c r="B38" t="s">
        <v>52</v>
      </c>
      <c r="C38">
        <v>11</v>
      </c>
      <c r="D38">
        <v>50</v>
      </c>
      <c r="E38" t="s">
        <v>20</v>
      </c>
      <c r="F38" t="s">
        <v>20</v>
      </c>
      <c r="G38">
        <v>1</v>
      </c>
      <c r="H38" s="20">
        <v>3.472222222222222E-3</v>
      </c>
      <c r="I38" s="21">
        <v>1.7361111111111112E-2</v>
      </c>
      <c r="J38" s="22">
        <v>45988</v>
      </c>
      <c r="M38" s="3" t="s">
        <v>56</v>
      </c>
      <c r="N38" s="3">
        <v>2</v>
      </c>
    </row>
    <row r="39" spans="1:15" x14ac:dyDescent="0.3">
      <c r="A39" s="3" t="s">
        <v>44</v>
      </c>
      <c r="B39" t="s">
        <v>24</v>
      </c>
      <c r="C39">
        <v>9</v>
      </c>
      <c r="D39">
        <v>3</v>
      </c>
      <c r="E39" t="s">
        <v>21</v>
      </c>
      <c r="F39" t="s">
        <v>21</v>
      </c>
      <c r="G39">
        <v>6</v>
      </c>
      <c r="H39" s="20">
        <v>3.472222222222222E-3</v>
      </c>
      <c r="I39" s="21">
        <v>1.7361111111111112E-2</v>
      </c>
      <c r="J39" s="22">
        <v>45988</v>
      </c>
      <c r="M39" s="3" t="s">
        <v>56</v>
      </c>
      <c r="N39" s="3">
        <v>2</v>
      </c>
    </row>
    <row r="40" spans="1:15" x14ac:dyDescent="0.3">
      <c r="A40" s="3" t="s">
        <v>44</v>
      </c>
      <c r="B40" t="s">
        <v>53</v>
      </c>
      <c r="C40">
        <v>10</v>
      </c>
      <c r="D40">
        <v>1</v>
      </c>
      <c r="E40" t="s">
        <v>21</v>
      </c>
      <c r="F40" t="s">
        <v>21</v>
      </c>
      <c r="G40">
        <v>6</v>
      </c>
      <c r="H40" s="20">
        <v>3.472222222222222E-3</v>
      </c>
      <c r="I40" s="21">
        <v>1.7361111111111112E-2</v>
      </c>
      <c r="J40" s="22">
        <v>45988</v>
      </c>
      <c r="M40" s="3" t="s">
        <v>56</v>
      </c>
      <c r="N40" s="3">
        <v>2</v>
      </c>
    </row>
    <row r="41" spans="1:15" x14ac:dyDescent="0.3">
      <c r="A41" s="3" t="s">
        <v>44</v>
      </c>
      <c r="B41" t="s">
        <v>16</v>
      </c>
      <c r="C41">
        <v>3</v>
      </c>
      <c r="D41">
        <v>1</v>
      </c>
      <c r="F41" t="s">
        <v>301</v>
      </c>
      <c r="G41">
        <v>8</v>
      </c>
      <c r="H41" s="20">
        <v>3.472222222222222E-3</v>
      </c>
      <c r="I41" s="21">
        <v>1.7361111111111112E-2</v>
      </c>
      <c r="J41" s="22">
        <v>45988</v>
      </c>
      <c r="M41" s="3" t="s">
        <v>56</v>
      </c>
      <c r="N41" s="3">
        <v>2</v>
      </c>
    </row>
    <row r="42" spans="1:15" x14ac:dyDescent="0.3">
      <c r="A42" s="3" t="s">
        <v>57</v>
      </c>
      <c r="B42" s="3" t="s">
        <v>74</v>
      </c>
      <c r="C42">
        <v>3</v>
      </c>
      <c r="D42" s="3">
        <v>800</v>
      </c>
      <c r="E42" s="3" t="s">
        <v>20</v>
      </c>
      <c r="F42" s="3" t="s">
        <v>20</v>
      </c>
      <c r="G42">
        <v>1</v>
      </c>
      <c r="H42" s="20">
        <v>1.0416666666666666E-2</v>
      </c>
      <c r="I42" s="21">
        <v>7.2916666666666671E-2</v>
      </c>
      <c r="J42" s="23">
        <v>46107</v>
      </c>
      <c r="K42" s="5" t="s">
        <v>14</v>
      </c>
      <c r="L42" s="3" t="s">
        <v>8</v>
      </c>
      <c r="M42" s="3" t="s">
        <v>56</v>
      </c>
      <c r="N42" s="3">
        <v>2</v>
      </c>
      <c r="O42" s="3" t="s">
        <v>82</v>
      </c>
    </row>
    <row r="43" spans="1:15" x14ac:dyDescent="0.3">
      <c r="A43" s="3" t="s">
        <v>57</v>
      </c>
      <c r="B43" t="s">
        <v>16</v>
      </c>
      <c r="C43">
        <v>3</v>
      </c>
      <c r="D43">
        <v>12</v>
      </c>
      <c r="F43" t="s">
        <v>301</v>
      </c>
      <c r="G43">
        <v>8</v>
      </c>
      <c r="H43" s="20">
        <v>1.0416666666666666E-2</v>
      </c>
      <c r="I43" s="21">
        <v>7.2916666666666671E-2</v>
      </c>
      <c r="J43" s="23">
        <v>46107</v>
      </c>
      <c r="M43" s="3" t="s">
        <v>56</v>
      </c>
      <c r="N43" s="3">
        <v>2</v>
      </c>
    </row>
    <row r="44" spans="1:15" x14ac:dyDescent="0.3">
      <c r="A44" s="3" t="s">
        <v>57</v>
      </c>
      <c r="B44" t="s">
        <v>58</v>
      </c>
      <c r="C44">
        <v>3</v>
      </c>
      <c r="D44">
        <v>220</v>
      </c>
      <c r="E44" t="s">
        <v>20</v>
      </c>
      <c r="F44" t="s">
        <v>299</v>
      </c>
      <c r="G44">
        <v>7</v>
      </c>
      <c r="H44" s="20">
        <v>1.0416666666666666E-2</v>
      </c>
      <c r="I44" s="21">
        <v>7.2916666666666671E-2</v>
      </c>
      <c r="J44" s="23">
        <v>46107</v>
      </c>
      <c r="M44" s="3" t="s">
        <v>56</v>
      </c>
      <c r="N44" s="3">
        <v>2</v>
      </c>
    </row>
    <row r="45" spans="1:15" x14ac:dyDescent="0.3">
      <c r="A45" s="3" t="s">
        <v>57</v>
      </c>
      <c r="B45" t="s">
        <v>40</v>
      </c>
      <c r="C45">
        <v>7</v>
      </c>
      <c r="D45">
        <v>25</v>
      </c>
      <c r="E45" t="s">
        <v>20</v>
      </c>
      <c r="F45" t="s">
        <v>303</v>
      </c>
      <c r="G45">
        <v>11</v>
      </c>
      <c r="H45" s="20">
        <v>1.0416666666666666E-2</v>
      </c>
      <c r="I45" s="21">
        <v>7.2916666666666671E-2</v>
      </c>
      <c r="J45" s="23">
        <v>46107</v>
      </c>
      <c r="M45" s="3" t="s">
        <v>56</v>
      </c>
      <c r="N45" s="3">
        <v>2</v>
      </c>
    </row>
    <row r="46" spans="1:15" x14ac:dyDescent="0.3">
      <c r="A46" s="3" t="s">
        <v>57</v>
      </c>
      <c r="B46" t="s">
        <v>59</v>
      </c>
      <c r="C46">
        <v>7</v>
      </c>
      <c r="D46">
        <v>3</v>
      </c>
      <c r="E46" t="s">
        <v>21</v>
      </c>
      <c r="F46" t="s">
        <v>36</v>
      </c>
      <c r="G46">
        <v>5</v>
      </c>
      <c r="H46" s="20">
        <v>1.0416666666666666E-2</v>
      </c>
      <c r="I46" s="21">
        <v>7.2916666666666671E-2</v>
      </c>
      <c r="J46" s="23">
        <v>46107</v>
      </c>
      <c r="M46" s="3" t="s">
        <v>56</v>
      </c>
      <c r="N46" s="3">
        <v>2</v>
      </c>
    </row>
    <row r="47" spans="1:15" x14ac:dyDescent="0.3">
      <c r="A47" s="3" t="s">
        <v>57</v>
      </c>
      <c r="B47" t="s">
        <v>60</v>
      </c>
      <c r="C47">
        <v>8</v>
      </c>
      <c r="D47">
        <v>4</v>
      </c>
      <c r="F47" t="s">
        <v>299</v>
      </c>
      <c r="G47">
        <v>7</v>
      </c>
      <c r="H47" s="20">
        <v>1.0416666666666666E-2</v>
      </c>
      <c r="I47" s="21">
        <v>7.2916666666666671E-2</v>
      </c>
      <c r="J47" s="23">
        <v>46107</v>
      </c>
      <c r="M47" s="3" t="s">
        <v>56</v>
      </c>
      <c r="N47" s="3">
        <v>2</v>
      </c>
    </row>
    <row r="48" spans="1:15" x14ac:dyDescent="0.3">
      <c r="A48" s="3" t="s">
        <v>57</v>
      </c>
      <c r="B48" t="s">
        <v>24</v>
      </c>
      <c r="C48">
        <v>9</v>
      </c>
      <c r="D48">
        <v>100</v>
      </c>
      <c r="E48" t="s">
        <v>25</v>
      </c>
      <c r="F48" t="s">
        <v>25</v>
      </c>
      <c r="G48">
        <v>3</v>
      </c>
      <c r="H48" s="20">
        <v>1.0416666666666666E-2</v>
      </c>
      <c r="I48" s="21">
        <v>7.2916666666666671E-2</v>
      </c>
      <c r="J48" s="23">
        <v>46107</v>
      </c>
      <c r="M48" s="3" t="s">
        <v>56</v>
      </c>
      <c r="N48" s="3">
        <v>2</v>
      </c>
    </row>
    <row r="49" spans="1:15" x14ac:dyDescent="0.3">
      <c r="A49" s="3" t="s">
        <v>57</v>
      </c>
      <c r="B49" t="s">
        <v>45</v>
      </c>
      <c r="C49">
        <v>5</v>
      </c>
      <c r="D49">
        <v>300</v>
      </c>
      <c r="E49" t="s">
        <v>20</v>
      </c>
      <c r="F49" t="s">
        <v>20</v>
      </c>
      <c r="G49">
        <v>1</v>
      </c>
      <c r="H49" s="20">
        <v>1.0416666666666666E-2</v>
      </c>
      <c r="I49" s="21">
        <v>7.2916666666666671E-2</v>
      </c>
      <c r="J49" s="23">
        <v>46107</v>
      </c>
      <c r="M49" s="3" t="s">
        <v>56</v>
      </c>
      <c r="N49" s="3">
        <v>2</v>
      </c>
    </row>
    <row r="50" spans="1:15" x14ac:dyDescent="0.3">
      <c r="A50" s="3" t="s">
        <v>57</v>
      </c>
      <c r="B50" t="s">
        <v>47</v>
      </c>
      <c r="C50">
        <v>13</v>
      </c>
      <c r="D50">
        <v>600</v>
      </c>
      <c r="E50" t="s">
        <v>25</v>
      </c>
      <c r="F50" t="s">
        <v>25</v>
      </c>
      <c r="G50">
        <v>3</v>
      </c>
      <c r="H50" s="20">
        <v>1.0416666666666666E-2</v>
      </c>
      <c r="I50" s="21">
        <v>7.2916666666666671E-2</v>
      </c>
      <c r="J50" s="23">
        <v>46107</v>
      </c>
      <c r="M50" s="3" t="s">
        <v>56</v>
      </c>
      <c r="N50" s="3">
        <v>2</v>
      </c>
    </row>
    <row r="51" spans="1:15" x14ac:dyDescent="0.3">
      <c r="A51" s="3" t="s">
        <v>57</v>
      </c>
      <c r="B51" t="s">
        <v>30</v>
      </c>
      <c r="C51">
        <v>12</v>
      </c>
      <c r="D51">
        <v>0.1</v>
      </c>
      <c r="F51" t="s">
        <v>36</v>
      </c>
      <c r="G51">
        <v>5</v>
      </c>
      <c r="H51" s="20">
        <v>1.0416666666666666E-2</v>
      </c>
      <c r="I51" s="21">
        <v>7.2916666666666671E-2</v>
      </c>
      <c r="J51" s="23">
        <v>46107</v>
      </c>
      <c r="M51" s="3" t="s">
        <v>56</v>
      </c>
      <c r="N51" s="3">
        <v>2</v>
      </c>
    </row>
    <row r="52" spans="1:15" x14ac:dyDescent="0.3">
      <c r="A52" s="3" t="s">
        <v>57</v>
      </c>
      <c r="B52" t="s">
        <v>31</v>
      </c>
      <c r="C52">
        <v>8</v>
      </c>
      <c r="D52">
        <v>0.1</v>
      </c>
      <c r="F52" t="s">
        <v>36</v>
      </c>
      <c r="G52">
        <v>5</v>
      </c>
      <c r="H52" s="20">
        <v>1.0416666666666666E-2</v>
      </c>
      <c r="I52" s="21">
        <v>7.2916666666666671E-2</v>
      </c>
      <c r="J52" s="23">
        <v>46107</v>
      </c>
      <c r="M52" s="3" t="s">
        <v>56</v>
      </c>
      <c r="N52" s="3">
        <v>2</v>
      </c>
    </row>
    <row r="53" spans="1:15" x14ac:dyDescent="0.3">
      <c r="A53" s="3" t="s">
        <v>62</v>
      </c>
      <c r="B53" s="3" t="s">
        <v>73</v>
      </c>
      <c r="C53">
        <v>3</v>
      </c>
      <c r="D53" s="3">
        <v>1</v>
      </c>
      <c r="E53" s="3" t="s">
        <v>63</v>
      </c>
      <c r="F53" t="s">
        <v>63</v>
      </c>
      <c r="G53">
        <v>2</v>
      </c>
      <c r="H53" s="20">
        <v>6.9444444444444441E-3</v>
      </c>
      <c r="I53" s="20">
        <v>3.8194444444444448E-2</v>
      </c>
      <c r="J53" s="22">
        <v>46116</v>
      </c>
      <c r="K53" s="3" t="s">
        <v>14</v>
      </c>
      <c r="L53" s="3" t="s">
        <v>78</v>
      </c>
      <c r="M53" s="3" t="s">
        <v>79</v>
      </c>
      <c r="N53" s="3">
        <v>3</v>
      </c>
      <c r="O53" s="3" t="s">
        <v>82</v>
      </c>
    </row>
    <row r="54" spans="1:15" x14ac:dyDescent="0.3">
      <c r="A54" s="3" t="s">
        <v>62</v>
      </c>
      <c r="B54" t="s">
        <v>24</v>
      </c>
      <c r="C54">
        <v>9</v>
      </c>
      <c r="D54">
        <v>3</v>
      </c>
      <c r="E54" t="s">
        <v>21</v>
      </c>
      <c r="F54" t="s">
        <v>21</v>
      </c>
      <c r="G54">
        <v>6</v>
      </c>
      <c r="H54" s="20">
        <v>6.9444444444444441E-3</v>
      </c>
      <c r="I54" s="20">
        <v>3.8194444444444448E-2</v>
      </c>
      <c r="J54" s="22">
        <v>46116</v>
      </c>
      <c r="M54" s="3" t="s">
        <v>79</v>
      </c>
      <c r="N54" s="3">
        <v>3</v>
      </c>
    </row>
    <row r="55" spans="1:15" x14ac:dyDescent="0.3">
      <c r="A55" s="3" t="s">
        <v>62</v>
      </c>
      <c r="B55" t="s">
        <v>64</v>
      </c>
      <c r="C55">
        <v>12</v>
      </c>
      <c r="D55">
        <v>2</v>
      </c>
      <c r="E55" t="s">
        <v>36</v>
      </c>
      <c r="F55" t="s">
        <v>36</v>
      </c>
      <c r="G55">
        <v>5</v>
      </c>
      <c r="H55" s="20">
        <v>6.9444444444444441E-3</v>
      </c>
      <c r="I55" s="20">
        <v>3.8194444444444448E-2</v>
      </c>
      <c r="J55" s="22">
        <v>46116</v>
      </c>
      <c r="M55" s="3" t="s">
        <v>79</v>
      </c>
      <c r="N55" s="3">
        <v>3</v>
      </c>
    </row>
    <row r="56" spans="1:15" x14ac:dyDescent="0.3">
      <c r="A56" s="3" t="s">
        <v>62</v>
      </c>
      <c r="B56" t="s">
        <v>66</v>
      </c>
      <c r="C56">
        <v>2</v>
      </c>
      <c r="D56">
        <v>160</v>
      </c>
      <c r="E56" t="s">
        <v>20</v>
      </c>
      <c r="F56" t="s">
        <v>300</v>
      </c>
      <c r="G56">
        <v>10</v>
      </c>
      <c r="H56" s="20">
        <v>6.9444444444444441E-3</v>
      </c>
      <c r="I56" s="20">
        <v>3.8194444444444448E-2</v>
      </c>
      <c r="J56" s="22">
        <v>46116</v>
      </c>
      <c r="M56" s="3" t="s">
        <v>79</v>
      </c>
      <c r="N56" s="3">
        <v>3</v>
      </c>
    </row>
    <row r="57" spans="1:15" x14ac:dyDescent="0.3">
      <c r="A57" s="3" t="s">
        <v>62</v>
      </c>
      <c r="B57" t="s">
        <v>67</v>
      </c>
      <c r="C57">
        <v>7</v>
      </c>
      <c r="D57">
        <v>5</v>
      </c>
      <c r="E57" t="s">
        <v>20</v>
      </c>
      <c r="F57" t="s">
        <v>20</v>
      </c>
      <c r="G57">
        <v>1</v>
      </c>
      <c r="H57" s="20">
        <v>6.9444444444444441E-3</v>
      </c>
      <c r="I57" s="20">
        <v>3.8194444444444448E-2</v>
      </c>
      <c r="J57" s="22">
        <v>46116</v>
      </c>
      <c r="M57" s="3" t="s">
        <v>79</v>
      </c>
      <c r="N57" s="3">
        <v>3</v>
      </c>
    </row>
    <row r="58" spans="1:15" x14ac:dyDescent="0.3">
      <c r="A58" s="3" t="s">
        <v>62</v>
      </c>
      <c r="B58" t="s">
        <v>68</v>
      </c>
      <c r="C58">
        <v>7</v>
      </c>
      <c r="D58">
        <v>5</v>
      </c>
      <c r="E58" t="s">
        <v>20</v>
      </c>
      <c r="F58" t="s">
        <v>20</v>
      </c>
      <c r="G58">
        <v>1</v>
      </c>
      <c r="H58" s="20">
        <v>6.9444444444444441E-3</v>
      </c>
      <c r="I58" s="20">
        <v>3.8194444444444448E-2</v>
      </c>
      <c r="J58" s="22">
        <v>46116</v>
      </c>
      <c r="M58" s="3" t="s">
        <v>79</v>
      </c>
      <c r="N58" s="3">
        <v>3</v>
      </c>
    </row>
    <row r="59" spans="1:15" x14ac:dyDescent="0.3">
      <c r="A59" s="3" t="s">
        <v>62</v>
      </c>
      <c r="B59" t="s">
        <v>31</v>
      </c>
      <c r="C59">
        <v>8</v>
      </c>
      <c r="D59">
        <v>0.1</v>
      </c>
      <c r="F59" t="s">
        <v>36</v>
      </c>
      <c r="G59">
        <v>5</v>
      </c>
      <c r="H59" s="20">
        <v>6.9444444444444441E-3</v>
      </c>
      <c r="I59" s="20">
        <v>3.8194444444444448E-2</v>
      </c>
      <c r="J59" s="22">
        <v>46116</v>
      </c>
      <c r="M59" s="3" t="s">
        <v>79</v>
      </c>
      <c r="N59" s="3">
        <v>3</v>
      </c>
    </row>
    <row r="60" spans="1:15" x14ac:dyDescent="0.3">
      <c r="A60" s="3" t="s">
        <v>62</v>
      </c>
      <c r="B60" t="s">
        <v>11</v>
      </c>
      <c r="C60">
        <v>3</v>
      </c>
      <c r="D60" s="7">
        <v>0.5</v>
      </c>
      <c r="F60" t="s">
        <v>299</v>
      </c>
      <c r="G60">
        <v>7</v>
      </c>
      <c r="H60" s="20">
        <v>6.9444444444444441E-3</v>
      </c>
      <c r="I60" s="20">
        <v>3.8194444444444448E-2</v>
      </c>
      <c r="J60" s="22">
        <v>46116</v>
      </c>
      <c r="M60" s="3" t="s">
        <v>79</v>
      </c>
      <c r="N60" s="3">
        <v>3</v>
      </c>
    </row>
    <row r="61" spans="1:15" x14ac:dyDescent="0.3">
      <c r="A61" s="3" t="s">
        <v>62</v>
      </c>
      <c r="B61" t="s">
        <v>39</v>
      </c>
      <c r="C61">
        <v>4</v>
      </c>
      <c r="D61">
        <v>2</v>
      </c>
      <c r="E61" t="s">
        <v>21</v>
      </c>
      <c r="F61" t="s">
        <v>21</v>
      </c>
      <c r="G61">
        <v>6</v>
      </c>
      <c r="H61" s="20">
        <v>6.9444444444444441E-3</v>
      </c>
      <c r="I61" s="20">
        <v>3.8194444444444448E-2</v>
      </c>
      <c r="J61" s="22">
        <v>46116</v>
      </c>
      <c r="M61" s="3" t="s">
        <v>79</v>
      </c>
      <c r="N61" s="3">
        <v>3</v>
      </c>
    </row>
    <row r="62" spans="1:15" x14ac:dyDescent="0.3">
      <c r="A62" s="3" t="s">
        <v>62</v>
      </c>
      <c r="B62" t="s">
        <v>64</v>
      </c>
      <c r="C62">
        <v>12</v>
      </c>
      <c r="D62" s="7">
        <v>0.5</v>
      </c>
      <c r="E62" t="s">
        <v>36</v>
      </c>
      <c r="F62" t="s">
        <v>36</v>
      </c>
      <c r="G62">
        <v>5</v>
      </c>
      <c r="H62" s="20">
        <v>6.9444444444444441E-3</v>
      </c>
      <c r="I62" s="20">
        <v>3.8194444444444448E-2</v>
      </c>
      <c r="J62" s="22">
        <v>46116</v>
      </c>
      <c r="M62" s="3" t="s">
        <v>79</v>
      </c>
      <c r="N62" s="3">
        <v>3</v>
      </c>
    </row>
    <row r="63" spans="1:15" x14ac:dyDescent="0.3">
      <c r="A63" s="3" t="s">
        <v>62</v>
      </c>
      <c r="B63" t="s">
        <v>70</v>
      </c>
      <c r="C63">
        <v>6</v>
      </c>
      <c r="D63">
        <v>60</v>
      </c>
      <c r="E63" t="s">
        <v>21</v>
      </c>
      <c r="F63" t="s">
        <v>25</v>
      </c>
      <c r="G63">
        <v>3</v>
      </c>
      <c r="H63" s="20">
        <v>6.9444444444444441E-3</v>
      </c>
      <c r="I63" s="20">
        <v>3.8194444444444448E-2</v>
      </c>
      <c r="J63" s="22">
        <v>46116</v>
      </c>
      <c r="M63" s="3" t="s">
        <v>79</v>
      </c>
      <c r="N63" s="3">
        <v>3</v>
      </c>
    </row>
    <row r="64" spans="1:15" x14ac:dyDescent="0.3">
      <c r="A64" s="3" t="s">
        <v>62</v>
      </c>
      <c r="B64" t="s">
        <v>71</v>
      </c>
      <c r="C64">
        <v>6</v>
      </c>
      <c r="D64">
        <v>15</v>
      </c>
      <c r="E64" t="s">
        <v>20</v>
      </c>
      <c r="F64" t="s">
        <v>20</v>
      </c>
      <c r="G64">
        <v>1</v>
      </c>
      <c r="H64" s="20">
        <v>6.9444444444444441E-3</v>
      </c>
      <c r="I64" s="20">
        <v>3.8194444444444448E-2</v>
      </c>
      <c r="J64" s="22">
        <v>46116</v>
      </c>
      <c r="M64" s="3" t="s">
        <v>79</v>
      </c>
      <c r="N64" s="3">
        <v>3</v>
      </c>
    </row>
    <row r="65" spans="1:15" x14ac:dyDescent="0.3">
      <c r="A65" s="3" t="s">
        <v>62</v>
      </c>
      <c r="B65" t="s">
        <v>16</v>
      </c>
      <c r="C65">
        <v>3</v>
      </c>
      <c r="D65">
        <v>1</v>
      </c>
      <c r="F65" t="s">
        <v>301</v>
      </c>
      <c r="G65">
        <v>8</v>
      </c>
      <c r="H65" s="20">
        <v>6.9444444444444441E-3</v>
      </c>
      <c r="I65" s="20">
        <v>3.8194444444444448E-2</v>
      </c>
      <c r="J65" s="22">
        <v>46116</v>
      </c>
      <c r="M65" s="3" t="s">
        <v>79</v>
      </c>
      <c r="N65" s="3">
        <v>3</v>
      </c>
    </row>
    <row r="66" spans="1:15" x14ac:dyDescent="0.3">
      <c r="A66" s="3" t="s">
        <v>62</v>
      </c>
      <c r="B66" t="s">
        <v>72</v>
      </c>
      <c r="C66">
        <v>3</v>
      </c>
      <c r="D66">
        <v>2</v>
      </c>
      <c r="F66" t="s">
        <v>299</v>
      </c>
      <c r="G66">
        <v>7</v>
      </c>
      <c r="H66" s="20">
        <v>6.9444444444444441E-3</v>
      </c>
      <c r="I66" s="20">
        <v>3.8194444444444448E-2</v>
      </c>
      <c r="J66" s="22">
        <v>46116</v>
      </c>
      <c r="M66" s="3" t="s">
        <v>79</v>
      </c>
      <c r="N66" s="3">
        <v>3</v>
      </c>
    </row>
    <row r="67" spans="1:15" x14ac:dyDescent="0.3">
      <c r="A67" s="3" t="s">
        <v>83</v>
      </c>
      <c r="B67" s="3" t="s">
        <v>84</v>
      </c>
      <c r="C67">
        <v>4</v>
      </c>
      <c r="D67" s="3">
        <v>2</v>
      </c>
      <c r="E67" s="3"/>
      <c r="F67" t="s">
        <v>299</v>
      </c>
      <c r="G67">
        <v>7</v>
      </c>
      <c r="H67" s="21">
        <v>6.25E-2</v>
      </c>
      <c r="I67" s="21">
        <v>5.5555555555555552E-2</v>
      </c>
      <c r="J67" s="23">
        <v>46114</v>
      </c>
      <c r="K67" s="3">
        <v>12</v>
      </c>
      <c r="L67" s="3" t="s">
        <v>93</v>
      </c>
      <c r="M67" s="3" t="s">
        <v>94</v>
      </c>
      <c r="N67" s="3">
        <v>4</v>
      </c>
      <c r="O67" s="3" t="s">
        <v>95</v>
      </c>
    </row>
    <row r="68" spans="1:15" x14ac:dyDescent="0.3">
      <c r="A68" s="3" t="s">
        <v>83</v>
      </c>
      <c r="B68" t="s">
        <v>85</v>
      </c>
      <c r="C68">
        <v>5</v>
      </c>
      <c r="D68">
        <v>500</v>
      </c>
      <c r="E68" t="s">
        <v>20</v>
      </c>
      <c r="F68" t="s">
        <v>20</v>
      </c>
      <c r="G68">
        <v>1</v>
      </c>
      <c r="H68" s="21">
        <v>6.25E-2</v>
      </c>
      <c r="I68" s="21">
        <v>5.5555555555555552E-2</v>
      </c>
      <c r="J68" s="23">
        <v>46114</v>
      </c>
      <c r="M68" s="3" t="s">
        <v>94</v>
      </c>
      <c r="N68" s="3">
        <v>4</v>
      </c>
    </row>
    <row r="69" spans="1:15" x14ac:dyDescent="0.3">
      <c r="A69" s="3" t="s">
        <v>83</v>
      </c>
      <c r="B69" t="s">
        <v>86</v>
      </c>
      <c r="C69">
        <v>10</v>
      </c>
      <c r="D69">
        <v>400</v>
      </c>
      <c r="E69" t="s">
        <v>20</v>
      </c>
      <c r="F69" t="s">
        <v>20</v>
      </c>
      <c r="G69">
        <v>1</v>
      </c>
      <c r="H69" s="21">
        <v>6.25E-2</v>
      </c>
      <c r="I69" s="21">
        <v>5.5555555555555552E-2</v>
      </c>
      <c r="J69" s="23">
        <v>46114</v>
      </c>
      <c r="M69" s="3" t="s">
        <v>94</v>
      </c>
      <c r="N69" s="3">
        <v>4</v>
      </c>
    </row>
    <row r="70" spans="1:15" x14ac:dyDescent="0.3">
      <c r="A70" s="3" t="s">
        <v>83</v>
      </c>
      <c r="B70" t="s">
        <v>60</v>
      </c>
      <c r="C70">
        <v>8</v>
      </c>
      <c r="D70">
        <v>1</v>
      </c>
      <c r="F70" t="s">
        <v>299</v>
      </c>
      <c r="G70">
        <v>7</v>
      </c>
      <c r="H70" s="21">
        <v>6.25E-2</v>
      </c>
      <c r="I70" s="21">
        <v>5.5555555555555552E-2</v>
      </c>
      <c r="J70" s="23">
        <v>46114</v>
      </c>
      <c r="M70" s="3" t="s">
        <v>94</v>
      </c>
      <c r="N70" s="3">
        <v>4</v>
      </c>
    </row>
    <row r="71" spans="1:15" x14ac:dyDescent="0.3">
      <c r="A71" s="3" t="s">
        <v>83</v>
      </c>
      <c r="B71" t="s">
        <v>24</v>
      </c>
      <c r="C71">
        <v>9</v>
      </c>
      <c r="D71">
        <v>200</v>
      </c>
      <c r="E71" t="s">
        <v>25</v>
      </c>
      <c r="F71" t="s">
        <v>25</v>
      </c>
      <c r="G71">
        <v>3</v>
      </c>
      <c r="H71" s="21">
        <v>6.25E-2</v>
      </c>
      <c r="I71" s="21">
        <v>5.5555555555555552E-2</v>
      </c>
      <c r="J71" s="23">
        <v>46114</v>
      </c>
      <c r="M71" s="3" t="s">
        <v>94</v>
      </c>
      <c r="N71" s="3">
        <v>4</v>
      </c>
    </row>
    <row r="72" spans="1:15" x14ac:dyDescent="0.3">
      <c r="A72" s="3" t="s">
        <v>83</v>
      </c>
      <c r="B72" t="s">
        <v>87</v>
      </c>
      <c r="C72">
        <v>6</v>
      </c>
      <c r="D72">
        <v>250</v>
      </c>
      <c r="E72" t="s">
        <v>20</v>
      </c>
      <c r="F72" t="s">
        <v>20</v>
      </c>
      <c r="G72">
        <v>1</v>
      </c>
      <c r="H72" s="21">
        <v>6.25E-2</v>
      </c>
      <c r="I72" s="21">
        <v>5.5555555555555552E-2</v>
      </c>
      <c r="J72" s="23">
        <v>46114</v>
      </c>
      <c r="M72" s="3" t="s">
        <v>94</v>
      </c>
      <c r="N72" s="3">
        <v>4</v>
      </c>
    </row>
    <row r="73" spans="1:15" x14ac:dyDescent="0.3">
      <c r="A73" s="3" t="s">
        <v>83</v>
      </c>
      <c r="B73" t="s">
        <v>88</v>
      </c>
      <c r="C73">
        <v>6</v>
      </c>
      <c r="D73">
        <v>5</v>
      </c>
      <c r="F73" t="s">
        <v>299</v>
      </c>
      <c r="G73">
        <v>7</v>
      </c>
      <c r="H73" s="21">
        <v>6.25E-2</v>
      </c>
      <c r="I73" s="21">
        <v>5.5555555555555552E-2</v>
      </c>
      <c r="J73" s="23">
        <v>46114</v>
      </c>
      <c r="M73" s="3" t="s">
        <v>94</v>
      </c>
      <c r="N73" s="3">
        <v>4</v>
      </c>
    </row>
    <row r="74" spans="1:15" x14ac:dyDescent="0.3">
      <c r="A74" s="3" t="s">
        <v>83</v>
      </c>
      <c r="B74" t="s">
        <v>89</v>
      </c>
      <c r="C74">
        <v>10</v>
      </c>
      <c r="D74">
        <v>1</v>
      </c>
      <c r="E74" t="s">
        <v>21</v>
      </c>
      <c r="F74" t="s">
        <v>36</v>
      </c>
      <c r="G74">
        <v>5</v>
      </c>
      <c r="H74" s="21">
        <v>6.25E-2</v>
      </c>
      <c r="I74" s="21">
        <v>5.5555555555555552E-2</v>
      </c>
      <c r="J74" s="23">
        <v>46114</v>
      </c>
      <c r="M74" s="3" t="s">
        <v>94</v>
      </c>
      <c r="N74" s="3">
        <v>4</v>
      </c>
    </row>
    <row r="75" spans="1:15" x14ac:dyDescent="0.3">
      <c r="A75" s="3" t="s">
        <v>83</v>
      </c>
      <c r="B75" t="s">
        <v>99</v>
      </c>
      <c r="C75">
        <v>10</v>
      </c>
      <c r="D75">
        <v>1</v>
      </c>
      <c r="E75" t="s">
        <v>36</v>
      </c>
      <c r="F75" t="s">
        <v>36</v>
      </c>
      <c r="G75">
        <v>5</v>
      </c>
      <c r="H75" s="21">
        <v>6.25E-2</v>
      </c>
      <c r="I75" s="21">
        <v>5.5555555555555552E-2</v>
      </c>
      <c r="J75" s="23">
        <v>46114</v>
      </c>
      <c r="M75" s="3" t="s">
        <v>94</v>
      </c>
      <c r="N75" s="3">
        <v>4</v>
      </c>
    </row>
    <row r="76" spans="1:15" x14ac:dyDescent="0.3">
      <c r="A76" s="3" t="s">
        <v>108</v>
      </c>
      <c r="B76" s="3" t="s">
        <v>96</v>
      </c>
      <c r="C76">
        <v>5</v>
      </c>
      <c r="D76" s="3">
        <v>140</v>
      </c>
      <c r="E76" s="3" t="s">
        <v>20</v>
      </c>
      <c r="F76" t="s">
        <v>20</v>
      </c>
      <c r="G76">
        <v>1</v>
      </c>
      <c r="H76" s="20">
        <v>6.9444444444444441E-3</v>
      </c>
      <c r="I76" s="20">
        <v>2.0833333333333332E-2</v>
      </c>
      <c r="J76" s="22">
        <v>46127</v>
      </c>
      <c r="K76" s="3">
        <v>12</v>
      </c>
      <c r="L76" s="3" t="s">
        <v>105</v>
      </c>
      <c r="M76" s="3" t="s">
        <v>106</v>
      </c>
      <c r="N76" s="3">
        <v>5</v>
      </c>
      <c r="O76" s="3" t="s">
        <v>95</v>
      </c>
    </row>
    <row r="77" spans="1:15" x14ac:dyDescent="0.3">
      <c r="A77" s="3" t="s">
        <v>108</v>
      </c>
      <c r="B77" t="s">
        <v>97</v>
      </c>
      <c r="C77">
        <v>5</v>
      </c>
      <c r="D77">
        <v>150</v>
      </c>
      <c r="E77" t="s">
        <v>20</v>
      </c>
      <c r="F77" t="s">
        <v>20</v>
      </c>
      <c r="G77">
        <v>1</v>
      </c>
      <c r="H77" s="20">
        <v>6.9444444444444441E-3</v>
      </c>
      <c r="I77" s="20">
        <v>2.0833333333333332E-2</v>
      </c>
      <c r="J77" s="22">
        <v>46127</v>
      </c>
      <c r="M77" s="3" t="s">
        <v>106</v>
      </c>
      <c r="N77" s="3">
        <v>5</v>
      </c>
    </row>
    <row r="78" spans="1:15" x14ac:dyDescent="0.3">
      <c r="A78" s="3" t="s">
        <v>108</v>
      </c>
      <c r="B78" t="s">
        <v>89</v>
      </c>
      <c r="C78">
        <v>10</v>
      </c>
      <c r="D78">
        <v>1</v>
      </c>
      <c r="E78" t="s">
        <v>21</v>
      </c>
      <c r="F78" t="s">
        <v>36</v>
      </c>
      <c r="G78">
        <v>5</v>
      </c>
      <c r="H78" s="20">
        <v>6.9444444444444441E-3</v>
      </c>
      <c r="I78" s="20">
        <v>2.0833333333333332E-2</v>
      </c>
      <c r="J78" s="22">
        <v>46127</v>
      </c>
      <c r="M78" s="3" t="s">
        <v>106</v>
      </c>
      <c r="N78" s="3">
        <v>5</v>
      </c>
    </row>
    <row r="79" spans="1:15" x14ac:dyDescent="0.3">
      <c r="A79" s="3" t="s">
        <v>108</v>
      </c>
      <c r="B79" t="s">
        <v>98</v>
      </c>
      <c r="C79">
        <v>8</v>
      </c>
      <c r="D79">
        <v>1</v>
      </c>
      <c r="E79" t="s">
        <v>36</v>
      </c>
      <c r="F79" t="s">
        <v>36</v>
      </c>
      <c r="G79">
        <v>5</v>
      </c>
      <c r="H79" s="20">
        <v>6.9444444444444441E-3</v>
      </c>
      <c r="I79" s="20">
        <v>2.0833333333333332E-2</v>
      </c>
      <c r="J79" s="22">
        <v>46127</v>
      </c>
      <c r="M79" s="3" t="s">
        <v>106</v>
      </c>
      <c r="N79" s="3">
        <v>5</v>
      </c>
    </row>
    <row r="80" spans="1:15" x14ac:dyDescent="0.3">
      <c r="A80" s="3" t="s">
        <v>108</v>
      </c>
      <c r="B80" t="s">
        <v>88</v>
      </c>
      <c r="C80">
        <v>6</v>
      </c>
      <c r="D80">
        <v>1</v>
      </c>
      <c r="F80" t="s">
        <v>299</v>
      </c>
      <c r="G80">
        <v>7</v>
      </c>
      <c r="H80" s="20">
        <v>6.9444444444444441E-3</v>
      </c>
      <c r="I80" s="20">
        <v>2.0833333333333332E-2</v>
      </c>
      <c r="J80" s="22">
        <v>46127</v>
      </c>
      <c r="M80" s="3" t="s">
        <v>106</v>
      </c>
      <c r="N80" s="3">
        <v>5</v>
      </c>
    </row>
    <row r="81" spans="1:15" x14ac:dyDescent="0.3">
      <c r="A81" s="3" t="s">
        <v>108</v>
      </c>
      <c r="B81" t="s">
        <v>24</v>
      </c>
      <c r="C81">
        <v>9</v>
      </c>
      <c r="D81">
        <v>160</v>
      </c>
      <c r="E81" t="s">
        <v>25</v>
      </c>
      <c r="F81" t="s">
        <v>25</v>
      </c>
      <c r="G81">
        <v>3</v>
      </c>
      <c r="H81" s="20">
        <v>6.9444444444444441E-3</v>
      </c>
      <c r="I81" s="20">
        <v>2.0833333333333332E-2</v>
      </c>
      <c r="J81" s="22">
        <v>46127</v>
      </c>
      <c r="M81" s="3" t="s">
        <v>106</v>
      </c>
      <c r="N81" s="3">
        <v>5</v>
      </c>
    </row>
    <row r="82" spans="1:15" x14ac:dyDescent="0.3">
      <c r="A82" s="3" t="s">
        <v>108</v>
      </c>
      <c r="B82" t="s">
        <v>99</v>
      </c>
      <c r="C82">
        <v>10</v>
      </c>
      <c r="D82">
        <v>1</v>
      </c>
      <c r="E82" t="s">
        <v>36</v>
      </c>
      <c r="F82" t="s">
        <v>36</v>
      </c>
      <c r="G82">
        <v>5</v>
      </c>
      <c r="H82" s="20">
        <v>6.9444444444444441E-3</v>
      </c>
      <c r="I82" s="20">
        <v>2.0833333333333332E-2</v>
      </c>
      <c r="J82" s="22">
        <v>46127</v>
      </c>
      <c r="M82" s="3" t="s">
        <v>106</v>
      </c>
      <c r="N82" s="3">
        <v>5</v>
      </c>
    </row>
    <row r="83" spans="1:15" x14ac:dyDescent="0.3">
      <c r="A83" s="3" t="s">
        <v>108</v>
      </c>
      <c r="B83" t="s">
        <v>100</v>
      </c>
      <c r="C83">
        <v>10</v>
      </c>
      <c r="D83">
        <v>180</v>
      </c>
      <c r="E83" t="s">
        <v>25</v>
      </c>
      <c r="F83" t="s">
        <v>25</v>
      </c>
      <c r="G83">
        <v>3</v>
      </c>
      <c r="H83" s="20">
        <v>6.9444444444444441E-3</v>
      </c>
      <c r="I83" s="20">
        <v>2.0833333333333332E-2</v>
      </c>
      <c r="J83" s="22">
        <v>46127</v>
      </c>
      <c r="M83" s="3" t="s">
        <v>106</v>
      </c>
      <c r="N83" s="3">
        <v>5</v>
      </c>
    </row>
    <row r="84" spans="1:15" x14ac:dyDescent="0.3">
      <c r="A84" s="3" t="s">
        <v>108</v>
      </c>
      <c r="B84" t="s">
        <v>101</v>
      </c>
      <c r="C84">
        <v>6</v>
      </c>
      <c r="D84">
        <v>80</v>
      </c>
      <c r="E84" t="s">
        <v>25</v>
      </c>
      <c r="F84" t="s">
        <v>25</v>
      </c>
      <c r="G84">
        <v>3</v>
      </c>
      <c r="H84" s="20">
        <v>6.9444444444444441E-3</v>
      </c>
      <c r="I84" s="20">
        <v>2.0833333333333332E-2</v>
      </c>
      <c r="J84" s="22">
        <v>46127</v>
      </c>
      <c r="M84" s="3" t="s">
        <v>106</v>
      </c>
      <c r="N84" s="3">
        <v>5</v>
      </c>
    </row>
    <row r="85" spans="1:15" x14ac:dyDescent="0.3">
      <c r="A85" s="3" t="s">
        <v>108</v>
      </c>
      <c r="B85" t="s">
        <v>102</v>
      </c>
      <c r="C85">
        <v>4</v>
      </c>
      <c r="D85">
        <v>375</v>
      </c>
      <c r="E85" t="s">
        <v>20</v>
      </c>
      <c r="F85" t="s">
        <v>20</v>
      </c>
      <c r="G85">
        <v>1</v>
      </c>
      <c r="H85" s="20">
        <v>6.9444444444444441E-3</v>
      </c>
      <c r="I85" s="20">
        <v>2.0833333333333332E-2</v>
      </c>
      <c r="J85" s="22">
        <v>46127</v>
      </c>
      <c r="M85" s="3" t="s">
        <v>106</v>
      </c>
      <c r="N85" s="3">
        <v>5</v>
      </c>
    </row>
    <row r="86" spans="1:15" x14ac:dyDescent="0.3">
      <c r="A86" s="3" t="s">
        <v>107</v>
      </c>
      <c r="B86" s="3" t="s">
        <v>109</v>
      </c>
      <c r="C86">
        <v>3</v>
      </c>
      <c r="D86" s="3">
        <v>15</v>
      </c>
      <c r="E86" s="3" t="s">
        <v>20</v>
      </c>
      <c r="F86" t="s">
        <v>20</v>
      </c>
      <c r="G86">
        <v>1</v>
      </c>
      <c r="H86" s="20">
        <v>6.9444444444444441E-3</v>
      </c>
      <c r="I86" s="20">
        <v>4.1666666666666664E-2</v>
      </c>
      <c r="J86" s="22">
        <v>46122</v>
      </c>
      <c r="K86" s="3">
        <v>4</v>
      </c>
      <c r="L86" s="3" t="s">
        <v>93</v>
      </c>
      <c r="M86" s="3" t="s">
        <v>117</v>
      </c>
      <c r="N86" s="3">
        <v>6</v>
      </c>
      <c r="O86" s="3" t="s">
        <v>81</v>
      </c>
    </row>
    <row r="87" spans="1:15" x14ac:dyDescent="0.3">
      <c r="A87" s="3" t="s">
        <v>107</v>
      </c>
      <c r="B87" t="s">
        <v>16</v>
      </c>
      <c r="C87">
        <v>3</v>
      </c>
      <c r="D87">
        <v>4</v>
      </c>
      <c r="F87" t="s">
        <v>301</v>
      </c>
      <c r="G87">
        <v>8</v>
      </c>
      <c r="H87" s="20">
        <v>6.9444444444444441E-3</v>
      </c>
      <c r="I87" s="20">
        <v>4.1666666666666664E-2</v>
      </c>
      <c r="J87" s="22">
        <v>46122</v>
      </c>
      <c r="M87" s="3" t="s">
        <v>117</v>
      </c>
      <c r="N87" s="3">
        <v>6</v>
      </c>
    </row>
    <row r="88" spans="1:15" x14ac:dyDescent="0.3">
      <c r="A88" s="3" t="s">
        <v>107</v>
      </c>
      <c r="B88" t="s">
        <v>111</v>
      </c>
      <c r="C88">
        <v>3</v>
      </c>
      <c r="D88">
        <v>2</v>
      </c>
      <c r="F88" t="s">
        <v>299</v>
      </c>
      <c r="G88">
        <v>7</v>
      </c>
      <c r="H88" s="20">
        <v>6.9444444444444441E-3</v>
      </c>
      <c r="I88" s="20">
        <v>4.1666666666666664E-2</v>
      </c>
      <c r="J88" s="22">
        <v>46122</v>
      </c>
      <c r="M88" s="3" t="s">
        <v>117</v>
      </c>
      <c r="N88" s="3">
        <v>6</v>
      </c>
    </row>
    <row r="89" spans="1:15" x14ac:dyDescent="0.3">
      <c r="A89" s="3" t="s">
        <v>107</v>
      </c>
      <c r="B89" t="s">
        <v>112</v>
      </c>
      <c r="C89">
        <v>3</v>
      </c>
      <c r="D89">
        <v>2</v>
      </c>
      <c r="F89" t="s">
        <v>299</v>
      </c>
      <c r="G89">
        <v>7</v>
      </c>
      <c r="H89" s="20">
        <v>6.9444444444444441E-3</v>
      </c>
      <c r="I89" s="20">
        <v>4.1666666666666664E-2</v>
      </c>
      <c r="J89" s="22">
        <v>46122</v>
      </c>
      <c r="M89" s="3" t="s">
        <v>117</v>
      </c>
      <c r="N89" s="3">
        <v>6</v>
      </c>
    </row>
    <row r="90" spans="1:15" x14ac:dyDescent="0.3">
      <c r="A90" s="3" t="s">
        <v>107</v>
      </c>
      <c r="B90" t="s">
        <v>74</v>
      </c>
      <c r="C90">
        <v>3</v>
      </c>
      <c r="D90">
        <v>200</v>
      </c>
      <c r="E90" t="s">
        <v>20</v>
      </c>
      <c r="F90" t="s">
        <v>299</v>
      </c>
      <c r="G90">
        <v>7</v>
      </c>
      <c r="H90" s="20">
        <v>6.9444444444444441E-3</v>
      </c>
      <c r="I90" s="20">
        <v>4.1666666666666664E-2</v>
      </c>
      <c r="J90" s="22">
        <v>46122</v>
      </c>
      <c r="M90" s="3" t="s">
        <v>117</v>
      </c>
      <c r="N90" s="3">
        <v>6</v>
      </c>
    </row>
    <row r="91" spans="1:15" x14ac:dyDescent="0.3">
      <c r="A91" s="3" t="s">
        <v>107</v>
      </c>
      <c r="B91" t="s">
        <v>113</v>
      </c>
      <c r="C91">
        <v>3</v>
      </c>
      <c r="D91">
        <v>4</v>
      </c>
      <c r="F91" t="s">
        <v>299</v>
      </c>
      <c r="G91">
        <v>7</v>
      </c>
      <c r="H91" s="20">
        <v>6.9444444444444441E-3</v>
      </c>
      <c r="I91" s="20">
        <v>4.1666666666666664E-2</v>
      </c>
      <c r="J91" s="22">
        <v>46122</v>
      </c>
      <c r="M91" s="3" t="s">
        <v>117</v>
      </c>
      <c r="N91" s="3">
        <v>6</v>
      </c>
    </row>
    <row r="92" spans="1:15" x14ac:dyDescent="0.3">
      <c r="A92" s="3" t="s">
        <v>107</v>
      </c>
      <c r="B92" t="s">
        <v>40</v>
      </c>
      <c r="C92">
        <v>7</v>
      </c>
      <c r="D92">
        <v>50</v>
      </c>
      <c r="E92" t="s">
        <v>20</v>
      </c>
      <c r="F92" t="s">
        <v>20</v>
      </c>
      <c r="G92">
        <v>1</v>
      </c>
      <c r="H92" s="20">
        <v>6.9444444444444441E-3</v>
      </c>
      <c r="I92" s="20">
        <v>4.1666666666666664E-2</v>
      </c>
      <c r="J92" s="22">
        <v>46122</v>
      </c>
      <c r="M92" s="3" t="s">
        <v>117</v>
      </c>
      <c r="N92" s="3">
        <v>6</v>
      </c>
    </row>
    <row r="93" spans="1:15" x14ac:dyDescent="0.3">
      <c r="A93" s="3" t="s">
        <v>107</v>
      </c>
      <c r="B93" t="s">
        <v>114</v>
      </c>
      <c r="C93">
        <v>4</v>
      </c>
      <c r="D93">
        <v>1</v>
      </c>
      <c r="F93" t="s">
        <v>299</v>
      </c>
      <c r="G93">
        <v>7</v>
      </c>
      <c r="H93" s="20">
        <v>6.9444444444444441E-3</v>
      </c>
      <c r="I93" s="20">
        <v>4.1666666666666664E-2</v>
      </c>
      <c r="J93" s="22">
        <v>46122</v>
      </c>
      <c r="M93" s="3" t="s">
        <v>117</v>
      </c>
      <c r="N93" s="3">
        <v>6</v>
      </c>
    </row>
    <row r="94" spans="1:15" x14ac:dyDescent="0.3">
      <c r="A94" s="3" t="s">
        <v>107</v>
      </c>
      <c r="B94" t="s">
        <v>115</v>
      </c>
      <c r="C94">
        <v>10</v>
      </c>
      <c r="D94">
        <v>1</v>
      </c>
      <c r="E94" t="s">
        <v>21</v>
      </c>
      <c r="F94" t="s">
        <v>21</v>
      </c>
      <c r="G94">
        <v>6</v>
      </c>
      <c r="H94" s="20">
        <v>6.9444444444444441E-3</v>
      </c>
      <c r="I94" s="20">
        <v>4.1666666666666664E-2</v>
      </c>
      <c r="J94" s="22">
        <v>46122</v>
      </c>
      <c r="M94" s="3" t="s">
        <v>117</v>
      </c>
      <c r="N94" s="3">
        <v>6</v>
      </c>
    </row>
    <row r="95" spans="1:15" x14ac:dyDescent="0.3">
      <c r="A95" s="3" t="s">
        <v>107</v>
      </c>
      <c r="B95" t="s">
        <v>22</v>
      </c>
      <c r="C95">
        <v>10</v>
      </c>
      <c r="D95" s="7" t="s">
        <v>69</v>
      </c>
      <c r="E95" t="s">
        <v>21</v>
      </c>
      <c r="F95" t="s">
        <v>21</v>
      </c>
      <c r="G95">
        <v>6</v>
      </c>
      <c r="H95" s="20">
        <v>6.9444444444444441E-3</v>
      </c>
      <c r="I95" s="20">
        <v>4.1666666666666664E-2</v>
      </c>
      <c r="J95" s="22">
        <v>46122</v>
      </c>
      <c r="M95" s="3" t="s">
        <v>117</v>
      </c>
      <c r="N95" s="3">
        <v>6</v>
      </c>
    </row>
    <row r="96" spans="1:15" x14ac:dyDescent="0.3">
      <c r="A96" s="3" t="s">
        <v>107</v>
      </c>
      <c r="B96" t="s">
        <v>116</v>
      </c>
      <c r="C96">
        <v>10</v>
      </c>
      <c r="D96">
        <v>3</v>
      </c>
      <c r="E96" t="s">
        <v>21</v>
      </c>
      <c r="F96" t="s">
        <v>21</v>
      </c>
      <c r="G96">
        <v>6</v>
      </c>
      <c r="H96" s="20">
        <v>6.9444444444444441E-3</v>
      </c>
      <c r="I96" s="20">
        <v>4.1666666666666664E-2</v>
      </c>
      <c r="J96" s="22">
        <v>46122</v>
      </c>
      <c r="M96" s="3" t="s">
        <v>117</v>
      </c>
      <c r="N96" s="3">
        <v>6</v>
      </c>
    </row>
    <row r="97" spans="1:15" x14ac:dyDescent="0.3">
      <c r="A97" s="3" t="s">
        <v>119</v>
      </c>
      <c r="B97" s="3" t="s">
        <v>189</v>
      </c>
      <c r="C97">
        <v>10</v>
      </c>
      <c r="D97" s="3">
        <v>2</v>
      </c>
      <c r="E97" s="3" t="s">
        <v>21</v>
      </c>
      <c r="F97" t="s">
        <v>36</v>
      </c>
      <c r="G97">
        <v>5</v>
      </c>
      <c r="H97" s="20">
        <v>6.9444444444444441E-3</v>
      </c>
      <c r="I97" s="20">
        <v>8.3333333333333329E-2</v>
      </c>
      <c r="J97" s="22">
        <v>46129</v>
      </c>
      <c r="K97" s="3">
        <v>6</v>
      </c>
      <c r="L97" s="3" t="s">
        <v>129</v>
      </c>
      <c r="M97" s="3" t="s">
        <v>130</v>
      </c>
      <c r="N97" s="3">
        <v>7</v>
      </c>
      <c r="O97" s="3" t="s">
        <v>81</v>
      </c>
    </row>
    <row r="98" spans="1:15" x14ac:dyDescent="0.3">
      <c r="A98" s="3" t="s">
        <v>119</v>
      </c>
      <c r="B98" t="s">
        <v>22</v>
      </c>
      <c r="C98">
        <v>10</v>
      </c>
      <c r="D98">
        <v>2</v>
      </c>
      <c r="E98" t="s">
        <v>21</v>
      </c>
      <c r="F98" t="s">
        <v>21</v>
      </c>
      <c r="G98">
        <v>6</v>
      </c>
      <c r="H98" s="20">
        <v>6.9444444444444441E-3</v>
      </c>
      <c r="I98" s="20">
        <v>8.3333333333333329E-2</v>
      </c>
      <c r="M98" s="3" t="s">
        <v>130</v>
      </c>
      <c r="N98" s="3">
        <v>7</v>
      </c>
    </row>
    <row r="99" spans="1:15" x14ac:dyDescent="0.3">
      <c r="A99" s="3" t="s">
        <v>119</v>
      </c>
      <c r="B99" t="s">
        <v>121</v>
      </c>
      <c r="C99">
        <v>1</v>
      </c>
      <c r="D99">
        <v>1.3</v>
      </c>
      <c r="E99" t="s">
        <v>63</v>
      </c>
      <c r="F99" t="s">
        <v>63</v>
      </c>
      <c r="G99">
        <v>2</v>
      </c>
      <c r="H99" s="20">
        <v>6.9444444444444441E-3</v>
      </c>
      <c r="I99" s="20">
        <v>8.3333333333333329E-2</v>
      </c>
      <c r="J99" s="22">
        <v>46129</v>
      </c>
      <c r="M99" s="3" t="s">
        <v>130</v>
      </c>
      <c r="N99" s="3">
        <v>7</v>
      </c>
    </row>
    <row r="100" spans="1:15" x14ac:dyDescent="0.3">
      <c r="A100" s="3" t="s">
        <v>119</v>
      </c>
      <c r="B100" t="s">
        <v>122</v>
      </c>
      <c r="C100">
        <v>10</v>
      </c>
      <c r="D100">
        <v>500</v>
      </c>
      <c r="E100" t="s">
        <v>25</v>
      </c>
      <c r="F100" t="s">
        <v>25</v>
      </c>
      <c r="G100">
        <v>3</v>
      </c>
      <c r="H100" s="20">
        <v>6.9444444444444441E-3</v>
      </c>
      <c r="I100" s="20">
        <v>8.3333333333333329E-2</v>
      </c>
      <c r="J100" s="22">
        <v>46129</v>
      </c>
      <c r="M100" s="3" t="s">
        <v>130</v>
      </c>
      <c r="N100" s="3">
        <v>7</v>
      </c>
    </row>
    <row r="101" spans="1:15" x14ac:dyDescent="0.3">
      <c r="A101" s="3" t="s">
        <v>119</v>
      </c>
      <c r="B101" t="s">
        <v>123</v>
      </c>
      <c r="C101">
        <v>10</v>
      </c>
      <c r="D101">
        <v>2</v>
      </c>
      <c r="E101" t="s">
        <v>21</v>
      </c>
      <c r="F101" t="s">
        <v>21</v>
      </c>
      <c r="G101">
        <v>6</v>
      </c>
      <c r="H101" s="20">
        <v>6.9444444444444441E-3</v>
      </c>
      <c r="I101" s="20">
        <v>8.3333333333333329E-2</v>
      </c>
      <c r="J101" s="22">
        <v>46129</v>
      </c>
      <c r="M101" s="3" t="s">
        <v>130</v>
      </c>
      <c r="N101" s="3">
        <v>7</v>
      </c>
    </row>
    <row r="102" spans="1:15" x14ac:dyDescent="0.3">
      <c r="A102" s="3" t="s">
        <v>119</v>
      </c>
      <c r="B102" t="s">
        <v>124</v>
      </c>
      <c r="C102">
        <v>10</v>
      </c>
      <c r="D102">
        <v>1</v>
      </c>
      <c r="E102" t="s">
        <v>20</v>
      </c>
      <c r="F102" t="s">
        <v>300</v>
      </c>
      <c r="G102">
        <v>10</v>
      </c>
      <c r="H102" s="20">
        <v>6.9444444444444441E-3</v>
      </c>
      <c r="I102" s="20">
        <v>8.3333333333333329E-2</v>
      </c>
      <c r="J102" s="22">
        <v>46129</v>
      </c>
      <c r="M102" s="3" t="s">
        <v>130</v>
      </c>
      <c r="N102" s="3">
        <v>7</v>
      </c>
    </row>
    <row r="103" spans="1:15" x14ac:dyDescent="0.3">
      <c r="A103" s="3" t="s">
        <v>119</v>
      </c>
      <c r="B103" t="s">
        <v>125</v>
      </c>
      <c r="C103">
        <v>6</v>
      </c>
      <c r="D103">
        <v>20</v>
      </c>
      <c r="E103" t="s">
        <v>20</v>
      </c>
      <c r="F103" t="s">
        <v>20</v>
      </c>
      <c r="G103">
        <v>1</v>
      </c>
      <c r="H103" s="20">
        <v>6.9444444444444441E-3</v>
      </c>
      <c r="I103" s="20">
        <v>8.3333333333333329E-2</v>
      </c>
      <c r="J103" s="22">
        <v>46129</v>
      </c>
      <c r="M103" s="3" t="s">
        <v>130</v>
      </c>
      <c r="N103" s="3">
        <v>7</v>
      </c>
    </row>
    <row r="104" spans="1:15" x14ac:dyDescent="0.3">
      <c r="A104" s="3" t="s">
        <v>119</v>
      </c>
      <c r="B104" t="s">
        <v>126</v>
      </c>
      <c r="C104">
        <v>7</v>
      </c>
      <c r="D104">
        <v>10</v>
      </c>
      <c r="E104" t="s">
        <v>20</v>
      </c>
      <c r="F104" t="s">
        <v>303</v>
      </c>
      <c r="G104">
        <v>11</v>
      </c>
      <c r="H104" s="20">
        <v>6.9444444444444441E-3</v>
      </c>
      <c r="I104" s="20">
        <v>8.3333333333333329E-2</v>
      </c>
      <c r="J104" s="22">
        <v>46129</v>
      </c>
      <c r="M104" s="3" t="s">
        <v>130</v>
      </c>
      <c r="N104" s="3">
        <v>7</v>
      </c>
    </row>
    <row r="105" spans="1:15" x14ac:dyDescent="0.3">
      <c r="A105" s="3" t="s">
        <v>119</v>
      </c>
      <c r="B105" t="s">
        <v>127</v>
      </c>
      <c r="C105">
        <v>7</v>
      </c>
      <c r="D105">
        <v>5</v>
      </c>
      <c r="E105" t="s">
        <v>20</v>
      </c>
      <c r="F105" t="s">
        <v>20</v>
      </c>
      <c r="G105">
        <v>1</v>
      </c>
      <c r="H105" s="20">
        <v>6.9444444444444441E-3</v>
      </c>
      <c r="I105" s="20">
        <v>8.3333333333333329E-2</v>
      </c>
      <c r="J105" s="22">
        <v>46129</v>
      </c>
      <c r="M105" s="3" t="s">
        <v>130</v>
      </c>
      <c r="N105" s="3">
        <v>7</v>
      </c>
    </row>
    <row r="106" spans="1:15" x14ac:dyDescent="0.3">
      <c r="A106" s="3" t="s">
        <v>119</v>
      </c>
      <c r="B106" t="s">
        <v>68</v>
      </c>
      <c r="C106">
        <v>7</v>
      </c>
      <c r="D106">
        <v>5</v>
      </c>
      <c r="E106" t="s">
        <v>20</v>
      </c>
      <c r="F106" t="s">
        <v>20</v>
      </c>
      <c r="G106">
        <v>1</v>
      </c>
      <c r="H106" s="20">
        <v>6.9444444444444441E-3</v>
      </c>
      <c r="I106" s="20">
        <v>8.3333333333333329E-2</v>
      </c>
      <c r="J106" s="22">
        <v>46129</v>
      </c>
      <c r="M106" s="3" t="s">
        <v>130</v>
      </c>
      <c r="N106" s="3">
        <v>7</v>
      </c>
    </row>
    <row r="107" spans="1:15" x14ac:dyDescent="0.3">
      <c r="A107" s="3" t="s">
        <v>119</v>
      </c>
      <c r="B107" t="s">
        <v>128</v>
      </c>
      <c r="C107">
        <v>7</v>
      </c>
      <c r="D107">
        <v>5</v>
      </c>
      <c r="E107" t="s">
        <v>20</v>
      </c>
      <c r="F107" t="s">
        <v>20</v>
      </c>
      <c r="G107">
        <v>1</v>
      </c>
      <c r="H107" s="20">
        <v>6.9444444444444441E-3</v>
      </c>
      <c r="I107" s="20">
        <v>8.3333333333333329E-2</v>
      </c>
      <c r="J107" s="22">
        <v>46129</v>
      </c>
      <c r="M107" s="3" t="s">
        <v>130</v>
      </c>
      <c r="N107" s="3">
        <v>7</v>
      </c>
    </row>
    <row r="108" spans="1:15" x14ac:dyDescent="0.3">
      <c r="A108" s="3" t="s">
        <v>119</v>
      </c>
      <c r="B108" t="s">
        <v>30</v>
      </c>
      <c r="C108">
        <v>12</v>
      </c>
      <c r="D108">
        <v>0.1</v>
      </c>
      <c r="F108" t="s">
        <v>36</v>
      </c>
      <c r="G108">
        <v>5</v>
      </c>
      <c r="H108" s="20">
        <v>6.9444444444444441E-3</v>
      </c>
      <c r="I108" s="20">
        <v>8.3333333333333329E-2</v>
      </c>
      <c r="J108" s="22">
        <v>46129</v>
      </c>
      <c r="M108" s="3" t="s">
        <v>130</v>
      </c>
      <c r="N108" s="3">
        <v>7</v>
      </c>
    </row>
    <row r="109" spans="1:15" x14ac:dyDescent="0.3">
      <c r="A109" s="3" t="s">
        <v>119</v>
      </c>
      <c r="B109" t="s">
        <v>31</v>
      </c>
      <c r="C109">
        <v>8</v>
      </c>
      <c r="D109">
        <v>0.1</v>
      </c>
      <c r="F109" t="s">
        <v>36</v>
      </c>
      <c r="G109">
        <v>5</v>
      </c>
      <c r="H109" s="20">
        <v>6.9444444444444441E-3</v>
      </c>
      <c r="I109" s="20">
        <v>8.3333333333333329E-2</v>
      </c>
      <c r="J109" s="22">
        <v>46129</v>
      </c>
      <c r="M109" s="3" t="s">
        <v>130</v>
      </c>
      <c r="N109" s="3">
        <v>7</v>
      </c>
    </row>
    <row r="110" spans="1:15" x14ac:dyDescent="0.3">
      <c r="A110" s="3" t="s">
        <v>132</v>
      </c>
      <c r="B110" s="3" t="s">
        <v>133</v>
      </c>
      <c r="C110">
        <v>3</v>
      </c>
      <c r="D110" s="3">
        <v>4</v>
      </c>
      <c r="E110" s="3"/>
      <c r="F110" t="s">
        <v>299</v>
      </c>
      <c r="G110">
        <v>7</v>
      </c>
      <c r="H110" s="20">
        <v>6.9444444444444441E-3</v>
      </c>
      <c r="I110" s="20">
        <v>2.7777777777777776E-2</v>
      </c>
      <c r="J110" s="22">
        <v>46073</v>
      </c>
      <c r="K110" s="3" t="s">
        <v>137</v>
      </c>
      <c r="L110" s="3" t="s">
        <v>138</v>
      </c>
      <c r="M110" s="3" t="s">
        <v>139</v>
      </c>
      <c r="N110" s="3">
        <v>8</v>
      </c>
      <c r="O110" s="3" t="s">
        <v>140</v>
      </c>
    </row>
    <row r="111" spans="1:15" x14ac:dyDescent="0.3">
      <c r="A111" s="3" t="s">
        <v>132</v>
      </c>
      <c r="B111" t="s">
        <v>24</v>
      </c>
      <c r="C111">
        <v>9</v>
      </c>
      <c r="D111">
        <v>3</v>
      </c>
      <c r="E111" t="s">
        <v>21</v>
      </c>
      <c r="F111" t="s">
        <v>21</v>
      </c>
      <c r="G111">
        <v>6</v>
      </c>
      <c r="H111" s="20">
        <v>6.9444444444444441E-3</v>
      </c>
      <c r="I111" s="20">
        <v>2.7777777777777776E-2</v>
      </c>
      <c r="J111" s="22">
        <v>46073</v>
      </c>
      <c r="M111" s="3" t="s">
        <v>139</v>
      </c>
      <c r="N111" s="3">
        <v>8</v>
      </c>
    </row>
    <row r="112" spans="1:15" x14ac:dyDescent="0.3">
      <c r="A112" s="3" t="s">
        <v>132</v>
      </c>
      <c r="B112" t="s">
        <v>16</v>
      </c>
      <c r="C112">
        <v>3</v>
      </c>
      <c r="D112">
        <v>2</v>
      </c>
      <c r="F112" t="s">
        <v>301</v>
      </c>
      <c r="G112">
        <v>8</v>
      </c>
      <c r="H112" s="20">
        <v>6.9444444444444441E-3</v>
      </c>
      <c r="I112" s="20">
        <v>2.7777777777777776E-2</v>
      </c>
      <c r="J112" s="22">
        <v>46073</v>
      </c>
      <c r="M112" s="3" t="s">
        <v>139</v>
      </c>
      <c r="N112" s="3">
        <v>8</v>
      </c>
    </row>
    <row r="113" spans="1:15" x14ac:dyDescent="0.3">
      <c r="A113" s="3" t="s">
        <v>132</v>
      </c>
      <c r="B113" t="s">
        <v>134</v>
      </c>
      <c r="C113">
        <v>8</v>
      </c>
      <c r="D113">
        <v>3</v>
      </c>
      <c r="E113" t="s">
        <v>36</v>
      </c>
      <c r="F113" t="s">
        <v>36</v>
      </c>
      <c r="G113">
        <v>5</v>
      </c>
      <c r="H113" s="20">
        <v>6.9444444444444441E-3</v>
      </c>
      <c r="I113" s="20">
        <v>2.7777777777777776E-2</v>
      </c>
      <c r="J113" s="22">
        <v>46073</v>
      </c>
      <c r="M113" s="3" t="s">
        <v>139</v>
      </c>
      <c r="N113" s="3">
        <v>8</v>
      </c>
    </row>
    <row r="114" spans="1:15" x14ac:dyDescent="0.3">
      <c r="A114" s="3" t="s">
        <v>132</v>
      </c>
      <c r="B114" t="s">
        <v>135</v>
      </c>
      <c r="C114">
        <v>8</v>
      </c>
      <c r="D114">
        <v>3</v>
      </c>
      <c r="E114" t="s">
        <v>36</v>
      </c>
      <c r="F114" t="s">
        <v>36</v>
      </c>
      <c r="G114">
        <v>5</v>
      </c>
      <c r="H114" s="20">
        <v>6.9444444444444441E-3</v>
      </c>
      <c r="I114" s="20">
        <v>2.7777777777777776E-2</v>
      </c>
      <c r="J114" s="22">
        <v>46073</v>
      </c>
      <c r="M114" s="3" t="s">
        <v>139</v>
      </c>
      <c r="N114" s="3">
        <v>8</v>
      </c>
    </row>
    <row r="115" spans="1:15" x14ac:dyDescent="0.3">
      <c r="A115" s="3" t="s">
        <v>132</v>
      </c>
      <c r="B115" t="s">
        <v>136</v>
      </c>
      <c r="C115">
        <v>12</v>
      </c>
      <c r="D115">
        <v>0.1</v>
      </c>
      <c r="F115" t="s">
        <v>36</v>
      </c>
      <c r="G115">
        <v>5</v>
      </c>
      <c r="H115" s="20">
        <v>6.9444444444444441E-3</v>
      </c>
      <c r="I115" s="20">
        <v>2.7777777777777776E-2</v>
      </c>
      <c r="J115" s="22">
        <v>46073</v>
      </c>
      <c r="M115" s="3" t="s">
        <v>139</v>
      </c>
      <c r="N115" s="3">
        <v>8</v>
      </c>
    </row>
    <row r="116" spans="1:15" x14ac:dyDescent="0.3">
      <c r="A116" s="3" t="s">
        <v>132</v>
      </c>
      <c r="B116" t="s">
        <v>31</v>
      </c>
      <c r="C116">
        <v>8</v>
      </c>
      <c r="D116">
        <v>0.1</v>
      </c>
      <c r="F116" t="s">
        <v>36</v>
      </c>
      <c r="G116">
        <v>5</v>
      </c>
      <c r="H116" s="20">
        <v>6.9444444444444441E-3</v>
      </c>
      <c r="I116" s="20">
        <v>2.7777777777777776E-2</v>
      </c>
      <c r="J116" s="22">
        <v>46073</v>
      </c>
      <c r="M116" s="3" t="s">
        <v>139</v>
      </c>
      <c r="N116" s="3">
        <v>8</v>
      </c>
    </row>
    <row r="117" spans="1:15" x14ac:dyDescent="0.3">
      <c r="A117" s="3" t="s">
        <v>132</v>
      </c>
      <c r="B117" t="s">
        <v>71</v>
      </c>
      <c r="C117">
        <v>6</v>
      </c>
      <c r="D117">
        <v>25</v>
      </c>
      <c r="E117" t="s">
        <v>20</v>
      </c>
      <c r="F117" t="s">
        <v>20</v>
      </c>
      <c r="G117">
        <v>1</v>
      </c>
      <c r="H117" s="20">
        <v>6.9444444444444441E-3</v>
      </c>
      <c r="I117" s="20">
        <v>2.7777777777777776E-2</v>
      </c>
      <c r="J117" s="22">
        <v>46073</v>
      </c>
      <c r="M117" s="3" t="s">
        <v>139</v>
      </c>
      <c r="N117" s="3">
        <v>8</v>
      </c>
    </row>
    <row r="118" spans="1:15" x14ac:dyDescent="0.3">
      <c r="A118" s="3" t="s">
        <v>141</v>
      </c>
      <c r="B118" s="3" t="s">
        <v>142</v>
      </c>
      <c r="C118">
        <v>3</v>
      </c>
      <c r="D118" s="3">
        <v>25</v>
      </c>
      <c r="E118" s="3" t="s">
        <v>20</v>
      </c>
      <c r="F118" t="s">
        <v>20</v>
      </c>
      <c r="G118">
        <v>1</v>
      </c>
      <c r="H118" s="20">
        <v>1.3888888888888888E-2</v>
      </c>
      <c r="I118" s="21">
        <v>7.2916666666666671E-2</v>
      </c>
      <c r="J118" s="23">
        <v>46013</v>
      </c>
      <c r="K118" s="3">
        <v>8</v>
      </c>
      <c r="L118" s="3" t="s">
        <v>153</v>
      </c>
      <c r="M118" s="3" t="s">
        <v>154</v>
      </c>
      <c r="N118" s="3">
        <v>9</v>
      </c>
      <c r="O118" s="3" t="s">
        <v>155</v>
      </c>
    </row>
    <row r="119" spans="1:15" x14ac:dyDescent="0.3">
      <c r="A119" s="3" t="s">
        <v>141</v>
      </c>
      <c r="B119" t="s">
        <v>47</v>
      </c>
      <c r="C119">
        <v>13</v>
      </c>
      <c r="D119">
        <v>275</v>
      </c>
      <c r="E119" t="s">
        <v>25</v>
      </c>
      <c r="F119" t="s">
        <v>25</v>
      </c>
      <c r="G119">
        <v>3</v>
      </c>
      <c r="H119" s="20">
        <v>1.3888888888888888E-2</v>
      </c>
      <c r="I119" s="21">
        <v>7.2916666666666671E-2</v>
      </c>
      <c r="J119" s="23">
        <v>46013</v>
      </c>
      <c r="M119" s="3" t="s">
        <v>154</v>
      </c>
      <c r="N119" s="3">
        <v>9</v>
      </c>
    </row>
    <row r="120" spans="1:15" x14ac:dyDescent="0.3">
      <c r="A120" s="3" t="s">
        <v>141</v>
      </c>
      <c r="B120" t="s">
        <v>125</v>
      </c>
      <c r="C120">
        <v>6</v>
      </c>
      <c r="D120">
        <v>75</v>
      </c>
      <c r="E120" t="s">
        <v>20</v>
      </c>
      <c r="F120" t="s">
        <v>20</v>
      </c>
      <c r="G120">
        <v>1</v>
      </c>
      <c r="H120" s="20">
        <v>1.3888888888888888E-2</v>
      </c>
      <c r="I120" s="21">
        <v>7.2916666666666671E-2</v>
      </c>
      <c r="J120" s="23">
        <v>46013</v>
      </c>
      <c r="M120" s="3" t="s">
        <v>154</v>
      </c>
      <c r="N120" s="3">
        <v>9</v>
      </c>
    </row>
    <row r="121" spans="1:15" x14ac:dyDescent="0.3">
      <c r="A121" s="3" t="s">
        <v>141</v>
      </c>
      <c r="B121" t="s">
        <v>143</v>
      </c>
      <c r="C121">
        <v>3</v>
      </c>
      <c r="D121">
        <v>110</v>
      </c>
      <c r="E121" t="s">
        <v>20</v>
      </c>
      <c r="F121" t="s">
        <v>20</v>
      </c>
      <c r="G121">
        <v>1</v>
      </c>
      <c r="H121" s="20">
        <v>1.3888888888888888E-2</v>
      </c>
      <c r="I121" s="21">
        <v>7.2916666666666671E-2</v>
      </c>
      <c r="J121" s="23">
        <v>46013</v>
      </c>
      <c r="M121" s="3" t="s">
        <v>154</v>
      </c>
      <c r="N121" s="3">
        <v>9</v>
      </c>
    </row>
    <row r="122" spans="1:15" x14ac:dyDescent="0.3">
      <c r="A122" s="3" t="s">
        <v>141</v>
      </c>
      <c r="B122" t="s">
        <v>26</v>
      </c>
      <c r="C122">
        <v>3</v>
      </c>
      <c r="D122">
        <v>2</v>
      </c>
      <c r="F122" t="s">
        <v>299</v>
      </c>
      <c r="G122">
        <v>7</v>
      </c>
      <c r="H122" s="20">
        <v>1.3888888888888888E-2</v>
      </c>
      <c r="I122" s="21">
        <v>7.2916666666666671E-2</v>
      </c>
      <c r="J122" s="23">
        <v>46013</v>
      </c>
      <c r="M122" s="3" t="s">
        <v>154</v>
      </c>
      <c r="N122" s="3">
        <v>9</v>
      </c>
    </row>
    <row r="123" spans="1:15" x14ac:dyDescent="0.3">
      <c r="A123" s="3" t="s">
        <v>141</v>
      </c>
      <c r="B123" t="s">
        <v>144</v>
      </c>
      <c r="C123">
        <v>3</v>
      </c>
      <c r="D123">
        <v>2</v>
      </c>
      <c r="F123" t="s">
        <v>299</v>
      </c>
      <c r="G123">
        <v>7</v>
      </c>
      <c r="H123" s="20">
        <v>1.3888888888888888E-2</v>
      </c>
      <c r="I123" s="21">
        <v>7.2916666666666671E-2</v>
      </c>
      <c r="J123" s="23">
        <v>46013</v>
      </c>
      <c r="M123" s="3" t="s">
        <v>154</v>
      </c>
      <c r="N123" s="3">
        <v>9</v>
      </c>
    </row>
    <row r="124" spans="1:15" x14ac:dyDescent="0.3">
      <c r="A124" s="3" t="s">
        <v>141</v>
      </c>
      <c r="B124" t="s">
        <v>11</v>
      </c>
      <c r="C124">
        <v>3</v>
      </c>
      <c r="D124">
        <v>1</v>
      </c>
      <c r="F124" t="s">
        <v>299</v>
      </c>
      <c r="G124">
        <v>7</v>
      </c>
      <c r="H124" s="20">
        <v>1.3888888888888888E-2</v>
      </c>
      <c r="I124" s="21">
        <v>7.2916666666666671E-2</v>
      </c>
      <c r="J124" s="23">
        <v>46013</v>
      </c>
      <c r="M124" s="3" t="s">
        <v>154</v>
      </c>
      <c r="N124" s="3">
        <v>9</v>
      </c>
    </row>
    <row r="125" spans="1:15" x14ac:dyDescent="0.3">
      <c r="A125" s="3" t="s">
        <v>141</v>
      </c>
      <c r="B125" t="s">
        <v>145</v>
      </c>
      <c r="C125">
        <v>3</v>
      </c>
      <c r="D125">
        <v>1</v>
      </c>
      <c r="F125" t="s">
        <v>299</v>
      </c>
      <c r="G125">
        <v>7</v>
      </c>
      <c r="H125" s="20">
        <v>1.3888888888888888E-2</v>
      </c>
      <c r="I125" s="21">
        <v>7.2916666666666671E-2</v>
      </c>
      <c r="J125" s="23">
        <v>46013</v>
      </c>
      <c r="M125" s="3" t="s">
        <v>154</v>
      </c>
      <c r="N125" s="3">
        <v>9</v>
      </c>
    </row>
    <row r="126" spans="1:15" x14ac:dyDescent="0.3">
      <c r="A126" s="3" t="s">
        <v>141</v>
      </c>
      <c r="B126" t="s">
        <v>146</v>
      </c>
      <c r="C126">
        <v>7</v>
      </c>
      <c r="D126">
        <v>2</v>
      </c>
      <c r="F126" t="s">
        <v>299</v>
      </c>
      <c r="G126">
        <v>7</v>
      </c>
      <c r="H126" s="20">
        <v>1.3888888888888888E-2</v>
      </c>
      <c r="I126" s="21">
        <v>7.2916666666666671E-2</v>
      </c>
      <c r="J126" s="23">
        <v>46013</v>
      </c>
      <c r="M126" s="3" t="s">
        <v>154</v>
      </c>
      <c r="N126" s="3">
        <v>9</v>
      </c>
    </row>
    <row r="127" spans="1:15" x14ac:dyDescent="0.3">
      <c r="A127" s="3" t="s">
        <v>141</v>
      </c>
      <c r="B127" t="s">
        <v>59</v>
      </c>
      <c r="C127">
        <v>7</v>
      </c>
      <c r="D127">
        <v>1.5</v>
      </c>
      <c r="E127" t="s">
        <v>36</v>
      </c>
      <c r="F127" t="s">
        <v>36</v>
      </c>
      <c r="G127">
        <v>5</v>
      </c>
      <c r="H127" s="20">
        <v>1.3888888888888888E-2</v>
      </c>
      <c r="I127" s="21">
        <v>7.2916666666666671E-2</v>
      </c>
      <c r="J127" s="23">
        <v>46013</v>
      </c>
      <c r="M127" s="3" t="s">
        <v>154</v>
      </c>
      <c r="N127" s="3">
        <v>9</v>
      </c>
    </row>
    <row r="128" spans="1:15" x14ac:dyDescent="0.3">
      <c r="A128" s="3" t="s">
        <v>141</v>
      </c>
      <c r="B128" t="s">
        <v>16</v>
      </c>
      <c r="C128">
        <v>3</v>
      </c>
      <c r="D128">
        <v>2</v>
      </c>
      <c r="F128" t="s">
        <v>301</v>
      </c>
      <c r="G128">
        <v>8</v>
      </c>
      <c r="H128" s="20">
        <v>1.3888888888888888E-2</v>
      </c>
      <c r="I128" s="21">
        <v>7.2916666666666671E-2</v>
      </c>
      <c r="J128" s="23">
        <v>46013</v>
      </c>
      <c r="M128" s="3" t="s">
        <v>154</v>
      </c>
      <c r="N128" s="3">
        <v>9</v>
      </c>
    </row>
    <row r="129" spans="1:14" x14ac:dyDescent="0.3">
      <c r="A129" s="3" t="s">
        <v>141</v>
      </c>
      <c r="B129" t="s">
        <v>147</v>
      </c>
      <c r="C129">
        <v>10</v>
      </c>
      <c r="D129">
        <v>2</v>
      </c>
      <c r="E129" t="s">
        <v>148</v>
      </c>
      <c r="F129" t="s">
        <v>148</v>
      </c>
      <c r="G129">
        <v>4</v>
      </c>
      <c r="H129" s="20">
        <v>1.3888888888888888E-2</v>
      </c>
      <c r="I129" s="21">
        <v>7.2916666666666671E-2</v>
      </c>
      <c r="J129" s="23">
        <v>46013</v>
      </c>
      <c r="M129" s="3" t="s">
        <v>154</v>
      </c>
      <c r="N129" s="3">
        <v>9</v>
      </c>
    </row>
    <row r="130" spans="1:14" x14ac:dyDescent="0.3">
      <c r="A130" s="3" t="s">
        <v>141</v>
      </c>
      <c r="B130" t="s">
        <v>149</v>
      </c>
      <c r="C130">
        <v>3</v>
      </c>
      <c r="D130">
        <v>225</v>
      </c>
      <c r="E130" t="s">
        <v>20</v>
      </c>
      <c r="F130" t="s">
        <v>20</v>
      </c>
      <c r="G130">
        <v>1</v>
      </c>
      <c r="H130" s="20">
        <v>1.3888888888888888E-2</v>
      </c>
      <c r="I130" s="21">
        <v>7.2916666666666671E-2</v>
      </c>
      <c r="J130" s="23">
        <v>46013</v>
      </c>
      <c r="M130" s="3" t="s">
        <v>154</v>
      </c>
      <c r="N130" s="3">
        <v>9</v>
      </c>
    </row>
    <row r="131" spans="1:14" x14ac:dyDescent="0.3">
      <c r="A131" s="3" t="s">
        <v>141</v>
      </c>
      <c r="B131" t="s">
        <v>52</v>
      </c>
      <c r="C131">
        <v>11</v>
      </c>
      <c r="D131">
        <v>110</v>
      </c>
      <c r="E131" t="s">
        <v>20</v>
      </c>
      <c r="F131" t="s">
        <v>20</v>
      </c>
      <c r="G131">
        <v>1</v>
      </c>
      <c r="H131" s="20">
        <v>1.3888888888888888E-2</v>
      </c>
      <c r="I131" s="21">
        <v>7.2916666666666671E-2</v>
      </c>
      <c r="J131" s="23">
        <v>46013</v>
      </c>
      <c r="M131" s="3" t="s">
        <v>154</v>
      </c>
      <c r="N131" s="3">
        <v>9</v>
      </c>
    </row>
    <row r="132" spans="1:14" x14ac:dyDescent="0.3">
      <c r="A132" s="3" t="s">
        <v>141</v>
      </c>
      <c r="B132" t="s">
        <v>150</v>
      </c>
      <c r="C132">
        <v>6</v>
      </c>
      <c r="D132">
        <v>75</v>
      </c>
      <c r="E132" t="s">
        <v>25</v>
      </c>
      <c r="F132" t="s">
        <v>25</v>
      </c>
      <c r="G132">
        <v>3</v>
      </c>
      <c r="H132" s="20">
        <v>1.3888888888888888E-2</v>
      </c>
      <c r="I132" s="21">
        <v>7.2916666666666671E-2</v>
      </c>
      <c r="J132" s="23">
        <v>46013</v>
      </c>
      <c r="M132" s="3" t="s">
        <v>154</v>
      </c>
      <c r="N132" s="3">
        <v>9</v>
      </c>
    </row>
    <row r="133" spans="1:14" x14ac:dyDescent="0.3">
      <c r="A133" s="3" t="s">
        <v>141</v>
      </c>
      <c r="B133" t="s">
        <v>151</v>
      </c>
      <c r="C133">
        <v>13</v>
      </c>
      <c r="D133">
        <v>75</v>
      </c>
      <c r="E133" t="s">
        <v>25</v>
      </c>
      <c r="F133" t="s">
        <v>25</v>
      </c>
      <c r="G133">
        <v>3</v>
      </c>
      <c r="H133" s="20">
        <v>1.3888888888888888E-2</v>
      </c>
      <c r="I133" s="21">
        <v>7.2916666666666671E-2</v>
      </c>
      <c r="J133" s="23">
        <v>46013</v>
      </c>
      <c r="M133" s="3" t="s">
        <v>154</v>
      </c>
      <c r="N133" s="3">
        <v>9</v>
      </c>
    </row>
    <row r="134" spans="1:14" x14ac:dyDescent="0.3">
      <c r="A134" s="3" t="s">
        <v>141</v>
      </c>
      <c r="B134" t="s">
        <v>39</v>
      </c>
      <c r="C134">
        <v>4</v>
      </c>
      <c r="D134">
        <v>10</v>
      </c>
      <c r="E134" t="s">
        <v>25</v>
      </c>
      <c r="F134" t="s">
        <v>25</v>
      </c>
      <c r="G134">
        <v>3</v>
      </c>
      <c r="H134" s="20">
        <v>1.3888888888888888E-2</v>
      </c>
      <c r="I134" s="21">
        <v>7.2916666666666671E-2</v>
      </c>
      <c r="J134" s="23">
        <v>46013</v>
      </c>
      <c r="M134" s="3" t="s">
        <v>154</v>
      </c>
      <c r="N134" s="3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66B-04DA-4BE1-A677-8786F7591A75}">
  <dimension ref="A2:O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30" sqref="K130"/>
    </sheetView>
  </sheetViews>
  <sheetFormatPr defaultRowHeight="14.4" x14ac:dyDescent="0.3"/>
  <cols>
    <col min="1" max="1" width="27" bestFit="1" customWidth="1"/>
    <col min="2" max="2" width="19.88671875" customWidth="1"/>
    <col min="3" max="3" width="7.33203125" bestFit="1" customWidth="1"/>
    <col min="4" max="4" width="6.21875" bestFit="1" customWidth="1"/>
    <col min="5" max="5" width="9.21875" bestFit="1" customWidth="1"/>
    <col min="6" max="6" width="11.5546875" bestFit="1" customWidth="1"/>
    <col min="7" max="7" width="11.5546875" customWidth="1"/>
    <col min="8" max="8" width="11" bestFit="1" customWidth="1"/>
    <col min="10" max="10" width="10.33203125" bestFit="1" customWidth="1"/>
  </cols>
  <sheetData>
    <row r="2" spans="1:15" x14ac:dyDescent="0.3">
      <c r="A2" t="s">
        <v>0</v>
      </c>
    </row>
    <row r="3" spans="1:15" ht="15" thickBot="1" x14ac:dyDescent="0.35">
      <c r="A3" s="4" t="s">
        <v>306</v>
      </c>
      <c r="B3" s="4" t="s">
        <v>288</v>
      </c>
      <c r="C3" s="4" t="s">
        <v>9</v>
      </c>
      <c r="D3" s="4" t="s">
        <v>298</v>
      </c>
      <c r="E3" s="4" t="s">
        <v>4</v>
      </c>
      <c r="F3" s="4" t="s">
        <v>10</v>
      </c>
      <c r="G3" s="4" t="s">
        <v>304</v>
      </c>
      <c r="H3" t="s">
        <v>305</v>
      </c>
      <c r="K3" t="s">
        <v>276</v>
      </c>
      <c r="O3" t="s">
        <v>277</v>
      </c>
    </row>
    <row r="4" spans="1:15" ht="15" thickTop="1" x14ac:dyDescent="0.3">
      <c r="A4" t="s">
        <v>7</v>
      </c>
      <c r="B4">
        <v>3</v>
      </c>
      <c r="C4">
        <v>1</v>
      </c>
      <c r="D4">
        <v>7</v>
      </c>
      <c r="E4" s="20">
        <v>1.7361111111111112E-2</v>
      </c>
      <c r="F4" s="20">
        <v>5.9027777777777776E-2</v>
      </c>
      <c r="G4" s="22">
        <v>45942</v>
      </c>
      <c r="H4">
        <v>1</v>
      </c>
      <c r="K4" t="s">
        <v>178</v>
      </c>
      <c r="L4">
        <v>1</v>
      </c>
      <c r="N4">
        <v>1</v>
      </c>
      <c r="O4" t="s">
        <v>278</v>
      </c>
    </row>
    <row r="5" spans="1:15" x14ac:dyDescent="0.3">
      <c r="A5" t="s">
        <v>7</v>
      </c>
      <c r="B5">
        <v>3</v>
      </c>
      <c r="C5">
        <v>6</v>
      </c>
      <c r="D5">
        <v>8</v>
      </c>
      <c r="E5" s="20">
        <v>1.7361111111111112E-2</v>
      </c>
      <c r="F5" s="20">
        <v>5.9027777777777776E-2</v>
      </c>
      <c r="G5" s="22">
        <v>45942</v>
      </c>
      <c r="H5">
        <v>1</v>
      </c>
      <c r="K5" t="s">
        <v>179</v>
      </c>
      <c r="L5">
        <v>2</v>
      </c>
      <c r="N5">
        <v>2</v>
      </c>
      <c r="O5" t="s">
        <v>279</v>
      </c>
    </row>
    <row r="6" spans="1:15" x14ac:dyDescent="0.3">
      <c r="A6" t="s">
        <v>7</v>
      </c>
      <c r="B6">
        <v>7</v>
      </c>
      <c r="C6">
        <v>45</v>
      </c>
      <c r="D6">
        <v>1</v>
      </c>
      <c r="E6" s="20">
        <v>1.7361111111111112E-2</v>
      </c>
      <c r="F6" s="20">
        <v>5.9027777777777776E-2</v>
      </c>
      <c r="G6" s="22">
        <v>45942</v>
      </c>
      <c r="H6">
        <v>1</v>
      </c>
      <c r="K6" t="s">
        <v>180</v>
      </c>
      <c r="L6">
        <v>3</v>
      </c>
      <c r="N6">
        <v>3</v>
      </c>
      <c r="O6" t="s">
        <v>280</v>
      </c>
    </row>
    <row r="7" spans="1:15" x14ac:dyDescent="0.3">
      <c r="A7" t="s">
        <v>7</v>
      </c>
      <c r="B7">
        <v>8</v>
      </c>
      <c r="C7">
        <v>2.5</v>
      </c>
      <c r="D7">
        <v>6</v>
      </c>
      <c r="E7" s="20">
        <v>1.7361111111111112E-2</v>
      </c>
      <c r="F7" s="20">
        <v>5.9027777777777776E-2</v>
      </c>
      <c r="G7" s="22">
        <v>45942</v>
      </c>
      <c r="H7">
        <v>1</v>
      </c>
      <c r="K7" t="s">
        <v>181</v>
      </c>
      <c r="L7">
        <v>4</v>
      </c>
      <c r="N7">
        <v>4</v>
      </c>
      <c r="O7" t="s">
        <v>281</v>
      </c>
    </row>
    <row r="8" spans="1:15" x14ac:dyDescent="0.3">
      <c r="A8" t="s">
        <v>7</v>
      </c>
      <c r="B8">
        <v>10</v>
      </c>
      <c r="C8">
        <v>2</v>
      </c>
      <c r="D8">
        <v>6</v>
      </c>
      <c r="E8" s="20">
        <v>1.7361111111111112E-2</v>
      </c>
      <c r="F8" s="20">
        <v>5.9027777777777776E-2</v>
      </c>
      <c r="G8" s="22">
        <v>45942</v>
      </c>
      <c r="H8">
        <v>1</v>
      </c>
      <c r="K8" t="s">
        <v>182</v>
      </c>
      <c r="L8">
        <v>5</v>
      </c>
      <c r="N8">
        <v>5</v>
      </c>
      <c r="O8" t="s">
        <v>282</v>
      </c>
    </row>
    <row r="9" spans="1:15" x14ac:dyDescent="0.3">
      <c r="A9" t="s">
        <v>7</v>
      </c>
      <c r="B9">
        <v>10</v>
      </c>
      <c r="C9">
        <v>2.5</v>
      </c>
      <c r="D9">
        <v>6</v>
      </c>
      <c r="E9" s="20">
        <v>1.7361111111111112E-2</v>
      </c>
      <c r="F9" s="20">
        <v>5.9027777777777776E-2</v>
      </c>
      <c r="G9" s="22">
        <v>45942</v>
      </c>
      <c r="H9">
        <v>1</v>
      </c>
      <c r="K9" t="s">
        <v>183</v>
      </c>
      <c r="L9">
        <v>6</v>
      </c>
      <c r="N9">
        <v>6</v>
      </c>
      <c r="O9" t="s">
        <v>283</v>
      </c>
    </row>
    <row r="10" spans="1:15" x14ac:dyDescent="0.3">
      <c r="A10" t="s">
        <v>7</v>
      </c>
      <c r="B10">
        <v>10</v>
      </c>
      <c r="C10">
        <v>3</v>
      </c>
      <c r="D10">
        <v>6</v>
      </c>
      <c r="E10" s="20">
        <v>1.7361111111111112E-2</v>
      </c>
      <c r="F10" s="20">
        <v>5.9027777777777776E-2</v>
      </c>
      <c r="G10" s="22">
        <v>45942</v>
      </c>
      <c r="H10">
        <v>1</v>
      </c>
      <c r="K10" t="s">
        <v>184</v>
      </c>
      <c r="L10">
        <v>7</v>
      </c>
      <c r="N10">
        <v>7</v>
      </c>
      <c r="O10" t="s">
        <v>284</v>
      </c>
    </row>
    <row r="11" spans="1:15" x14ac:dyDescent="0.3">
      <c r="A11" t="s">
        <v>7</v>
      </c>
      <c r="B11">
        <v>9</v>
      </c>
      <c r="C11">
        <v>90</v>
      </c>
      <c r="D11">
        <v>6</v>
      </c>
      <c r="E11" s="20">
        <v>1.7361111111111112E-2</v>
      </c>
      <c r="F11" s="20">
        <v>5.9027777777777776E-2</v>
      </c>
      <c r="G11" s="22">
        <v>45942</v>
      </c>
      <c r="H11">
        <v>1</v>
      </c>
      <c r="K11" t="s">
        <v>185</v>
      </c>
      <c r="L11">
        <v>8</v>
      </c>
      <c r="N11">
        <v>8</v>
      </c>
      <c r="O11" t="s">
        <v>285</v>
      </c>
    </row>
    <row r="12" spans="1:15" x14ac:dyDescent="0.3">
      <c r="A12" t="s">
        <v>7</v>
      </c>
      <c r="B12">
        <v>3</v>
      </c>
      <c r="C12">
        <v>800</v>
      </c>
      <c r="D12">
        <v>1</v>
      </c>
      <c r="E12" s="20">
        <v>1.7361111111111112E-2</v>
      </c>
      <c r="F12" s="20">
        <v>5.9027777777777776E-2</v>
      </c>
      <c r="G12" s="22">
        <v>45942</v>
      </c>
      <c r="H12">
        <v>1</v>
      </c>
      <c r="K12" t="s">
        <v>186</v>
      </c>
      <c r="L12">
        <v>9</v>
      </c>
      <c r="N12">
        <v>9</v>
      </c>
      <c r="O12" t="s">
        <v>286</v>
      </c>
    </row>
    <row r="13" spans="1:15" x14ac:dyDescent="0.3">
      <c r="A13" t="s">
        <v>7</v>
      </c>
      <c r="B13">
        <v>10</v>
      </c>
      <c r="C13">
        <v>2</v>
      </c>
      <c r="D13">
        <v>10</v>
      </c>
      <c r="E13" s="20">
        <v>1.7361111111111112E-2</v>
      </c>
      <c r="F13" s="20">
        <v>5.9027777777777776E-2</v>
      </c>
      <c r="G13" s="22">
        <v>45942</v>
      </c>
      <c r="H13">
        <v>1</v>
      </c>
      <c r="K13" t="s">
        <v>187</v>
      </c>
      <c r="L13">
        <v>10</v>
      </c>
    </row>
    <row r="14" spans="1:15" x14ac:dyDescent="0.3">
      <c r="A14" t="s">
        <v>7</v>
      </c>
      <c r="B14">
        <v>1</v>
      </c>
      <c r="C14">
        <v>8</v>
      </c>
      <c r="D14">
        <v>7</v>
      </c>
      <c r="E14" s="20">
        <v>1.7361111111111112E-2</v>
      </c>
      <c r="F14" s="20">
        <v>5.9027777777777776E-2</v>
      </c>
      <c r="G14" s="22">
        <v>45942</v>
      </c>
      <c r="H14">
        <v>1</v>
      </c>
      <c r="K14" t="s">
        <v>191</v>
      </c>
      <c r="L14">
        <v>11</v>
      </c>
    </row>
    <row r="15" spans="1:15" x14ac:dyDescent="0.3">
      <c r="A15" t="s">
        <v>7</v>
      </c>
      <c r="B15">
        <v>4</v>
      </c>
      <c r="C15">
        <v>3</v>
      </c>
      <c r="D15">
        <v>7</v>
      </c>
      <c r="E15" s="20">
        <v>1.7361111111111112E-2</v>
      </c>
      <c r="F15" s="20">
        <v>5.9027777777777776E-2</v>
      </c>
      <c r="G15" s="22">
        <v>45942</v>
      </c>
      <c r="H15">
        <v>1</v>
      </c>
      <c r="K15" t="s">
        <v>190</v>
      </c>
      <c r="L15">
        <v>12</v>
      </c>
    </row>
    <row r="16" spans="1:15" x14ac:dyDescent="0.3">
      <c r="A16" t="s">
        <v>7</v>
      </c>
      <c r="B16">
        <v>12</v>
      </c>
      <c r="C16">
        <v>0.1</v>
      </c>
      <c r="D16">
        <v>5</v>
      </c>
      <c r="E16" s="20">
        <v>1.7361111111111112E-2</v>
      </c>
      <c r="F16" s="20">
        <v>5.9027777777777776E-2</v>
      </c>
      <c r="G16" s="22">
        <v>45942</v>
      </c>
      <c r="H16">
        <v>1</v>
      </c>
      <c r="K16" t="s">
        <v>192</v>
      </c>
      <c r="L16">
        <v>13</v>
      </c>
    </row>
    <row r="17" spans="1:10" x14ac:dyDescent="0.3">
      <c r="A17" t="s">
        <v>7</v>
      </c>
      <c r="B17">
        <v>8</v>
      </c>
      <c r="C17">
        <v>0.1</v>
      </c>
      <c r="D17">
        <v>5</v>
      </c>
      <c r="E17" s="20">
        <v>1.7361111111111112E-2</v>
      </c>
      <c r="F17" s="20">
        <v>5.9027777777777776E-2</v>
      </c>
      <c r="G17" s="22">
        <v>45942</v>
      </c>
      <c r="H17">
        <v>1</v>
      </c>
    </row>
    <row r="18" spans="1:10" x14ac:dyDescent="0.3">
      <c r="A18" s="3" t="s">
        <v>307</v>
      </c>
      <c r="B18">
        <v>2</v>
      </c>
      <c r="C18" s="3">
        <v>4</v>
      </c>
      <c r="D18">
        <v>7</v>
      </c>
      <c r="E18" s="20">
        <v>3.472222222222222E-3</v>
      </c>
      <c r="F18" s="21">
        <v>1.3888888888888888E-2</v>
      </c>
      <c r="G18" s="22">
        <v>45988</v>
      </c>
      <c r="H18">
        <v>1</v>
      </c>
    </row>
    <row r="19" spans="1:10" x14ac:dyDescent="0.3">
      <c r="A19" s="3" t="s">
        <v>307</v>
      </c>
      <c r="B19">
        <v>8</v>
      </c>
      <c r="C19">
        <v>2</v>
      </c>
      <c r="D19">
        <v>6</v>
      </c>
      <c r="E19" s="20">
        <v>3.472222222222222E-3</v>
      </c>
      <c r="F19" s="21">
        <v>1.3888888888888888E-2</v>
      </c>
      <c r="G19" s="22">
        <v>45988</v>
      </c>
      <c r="H19">
        <v>1</v>
      </c>
    </row>
    <row r="20" spans="1:10" x14ac:dyDescent="0.3">
      <c r="A20" s="3" t="s">
        <v>307</v>
      </c>
      <c r="B20">
        <v>8</v>
      </c>
      <c r="C20">
        <v>2</v>
      </c>
      <c r="D20">
        <v>5</v>
      </c>
      <c r="E20" s="20">
        <v>3.472222222222222E-3</v>
      </c>
      <c r="F20" s="21">
        <v>1.3888888888888888E-2</v>
      </c>
      <c r="G20" s="22">
        <v>45988</v>
      </c>
      <c r="H20">
        <v>1</v>
      </c>
    </row>
    <row r="21" spans="1:10" x14ac:dyDescent="0.3">
      <c r="A21" s="3" t="s">
        <v>307</v>
      </c>
      <c r="B21">
        <v>9</v>
      </c>
      <c r="C21">
        <v>60</v>
      </c>
      <c r="D21">
        <v>3</v>
      </c>
      <c r="E21" s="20">
        <v>3.472222222222222E-3</v>
      </c>
      <c r="F21" s="21">
        <v>1.3888888888888888E-2</v>
      </c>
      <c r="G21" s="22">
        <v>45988</v>
      </c>
      <c r="H21">
        <v>1</v>
      </c>
      <c r="J21" s="22">
        <v>45303</v>
      </c>
    </row>
    <row r="22" spans="1:10" x14ac:dyDescent="0.3">
      <c r="A22" s="3" t="s">
        <v>307</v>
      </c>
      <c r="B22">
        <v>3</v>
      </c>
      <c r="C22">
        <v>250</v>
      </c>
      <c r="D22">
        <v>1</v>
      </c>
      <c r="E22" s="20">
        <v>3.472222222222222E-3</v>
      </c>
      <c r="F22" s="21">
        <v>1.3888888888888888E-2</v>
      </c>
      <c r="G22" s="22">
        <v>45988</v>
      </c>
      <c r="H22">
        <v>1</v>
      </c>
      <c r="J22" s="22">
        <v>45359</v>
      </c>
    </row>
    <row r="23" spans="1:10" x14ac:dyDescent="0.3">
      <c r="A23" s="3" t="s">
        <v>307</v>
      </c>
      <c r="B23">
        <v>10</v>
      </c>
      <c r="C23">
        <v>90</v>
      </c>
      <c r="D23">
        <v>1</v>
      </c>
      <c r="E23" s="20">
        <v>3.472222222222222E-3</v>
      </c>
      <c r="F23" s="21">
        <v>1.3888888888888888E-2</v>
      </c>
      <c r="G23" s="22">
        <v>45988</v>
      </c>
      <c r="H23">
        <v>1</v>
      </c>
      <c r="J23" s="22">
        <v>45433</v>
      </c>
    </row>
    <row r="24" spans="1:10" x14ac:dyDescent="0.3">
      <c r="A24" s="3" t="s">
        <v>307</v>
      </c>
      <c r="B24">
        <v>3</v>
      </c>
      <c r="C24">
        <v>3</v>
      </c>
      <c r="D24">
        <v>8</v>
      </c>
      <c r="E24" s="20">
        <v>3.472222222222222E-3</v>
      </c>
      <c r="F24" s="21">
        <v>1.3888888888888888E-2</v>
      </c>
      <c r="G24" s="22">
        <v>45988</v>
      </c>
      <c r="H24">
        <v>1</v>
      </c>
      <c r="J24" s="22">
        <v>45487</v>
      </c>
    </row>
    <row r="25" spans="1:10" x14ac:dyDescent="0.3">
      <c r="A25" s="3" t="s">
        <v>307</v>
      </c>
      <c r="B25">
        <v>4</v>
      </c>
      <c r="C25">
        <v>3.5</v>
      </c>
      <c r="D25">
        <v>6</v>
      </c>
      <c r="E25" s="20">
        <v>3.472222222222222E-3</v>
      </c>
      <c r="F25" s="21">
        <v>1.3888888888888888E-2</v>
      </c>
      <c r="G25" s="22">
        <v>45988</v>
      </c>
      <c r="H25">
        <v>1</v>
      </c>
      <c r="J25" s="22">
        <v>45538</v>
      </c>
    </row>
    <row r="26" spans="1:10" x14ac:dyDescent="0.3">
      <c r="A26" s="3" t="s">
        <v>307</v>
      </c>
      <c r="B26">
        <v>7</v>
      </c>
      <c r="C26">
        <v>1.5</v>
      </c>
      <c r="D26">
        <v>11</v>
      </c>
      <c r="E26" s="20">
        <v>3.472222222222222E-3</v>
      </c>
      <c r="F26" s="21">
        <v>1.3888888888888888E-2</v>
      </c>
      <c r="G26" s="22">
        <v>45988</v>
      </c>
      <c r="H26">
        <v>1</v>
      </c>
      <c r="J26" s="22">
        <v>45584</v>
      </c>
    </row>
    <row r="27" spans="1:10" x14ac:dyDescent="0.3">
      <c r="A27" s="3" t="s">
        <v>307</v>
      </c>
      <c r="B27">
        <v>12</v>
      </c>
      <c r="D27">
        <v>5</v>
      </c>
      <c r="E27" s="20">
        <v>3.472222222222222E-3</v>
      </c>
      <c r="F27" s="21">
        <v>1.3888888888888888E-2</v>
      </c>
      <c r="G27" s="22">
        <v>45988</v>
      </c>
      <c r="H27">
        <v>1</v>
      </c>
      <c r="J27" s="22">
        <v>45631</v>
      </c>
    </row>
    <row r="28" spans="1:10" x14ac:dyDescent="0.3">
      <c r="A28" s="3" t="s">
        <v>307</v>
      </c>
      <c r="B28">
        <v>8</v>
      </c>
      <c r="D28">
        <v>5</v>
      </c>
      <c r="E28" s="20">
        <v>3.472222222222222E-3</v>
      </c>
      <c r="F28" s="21">
        <v>1.3888888888888888E-2</v>
      </c>
      <c r="G28" s="22">
        <v>45988</v>
      </c>
      <c r="H28">
        <v>1</v>
      </c>
      <c r="J28" s="22">
        <v>45699</v>
      </c>
    </row>
    <row r="29" spans="1:10" x14ac:dyDescent="0.3">
      <c r="A29" s="3" t="s">
        <v>44</v>
      </c>
      <c r="B29">
        <v>5</v>
      </c>
      <c r="C29" s="3">
        <v>400</v>
      </c>
      <c r="D29">
        <v>1</v>
      </c>
      <c r="E29" s="20">
        <v>3.472222222222222E-3</v>
      </c>
      <c r="F29" s="21">
        <v>1.7361111111111112E-2</v>
      </c>
      <c r="G29" s="22">
        <v>45988</v>
      </c>
      <c r="H29" s="3">
        <v>2</v>
      </c>
      <c r="J29" s="22">
        <v>45835</v>
      </c>
    </row>
    <row r="30" spans="1:10" x14ac:dyDescent="0.3">
      <c r="A30" s="3" t="s">
        <v>44</v>
      </c>
      <c r="B30">
        <v>6</v>
      </c>
      <c r="C30">
        <v>50</v>
      </c>
      <c r="D30">
        <v>1</v>
      </c>
      <c r="E30" s="20">
        <v>3.472222222222222E-3</v>
      </c>
      <c r="F30" s="21">
        <v>1.7361111111111112E-2</v>
      </c>
      <c r="G30" s="22">
        <v>45988</v>
      </c>
      <c r="H30" s="3">
        <v>2</v>
      </c>
      <c r="J30" s="22">
        <v>46249</v>
      </c>
    </row>
    <row r="31" spans="1:10" x14ac:dyDescent="0.3">
      <c r="A31" s="3" t="s">
        <v>44</v>
      </c>
      <c r="B31">
        <v>13</v>
      </c>
      <c r="C31">
        <v>800</v>
      </c>
      <c r="D31">
        <v>3</v>
      </c>
      <c r="E31" s="20">
        <v>3.472222222222222E-3</v>
      </c>
      <c r="F31" s="21">
        <v>1.7361111111111112E-2</v>
      </c>
      <c r="G31" s="22">
        <v>45988</v>
      </c>
      <c r="H31" s="3">
        <v>2</v>
      </c>
      <c r="J31" s="22">
        <v>46328</v>
      </c>
    </row>
    <row r="32" spans="1:10" x14ac:dyDescent="0.3">
      <c r="A32" s="3" t="s">
        <v>44</v>
      </c>
      <c r="B32">
        <v>7</v>
      </c>
      <c r="C32">
        <v>50</v>
      </c>
      <c r="D32">
        <v>1</v>
      </c>
      <c r="E32" s="20">
        <v>3.472222222222222E-3</v>
      </c>
      <c r="F32" s="21">
        <v>1.7361111111111112E-2</v>
      </c>
      <c r="G32" s="22">
        <v>45988</v>
      </c>
      <c r="H32" s="3">
        <v>2</v>
      </c>
    </row>
    <row r="33" spans="1:8" x14ac:dyDescent="0.3">
      <c r="A33" s="3" t="s">
        <v>44</v>
      </c>
      <c r="B33">
        <v>6</v>
      </c>
      <c r="C33">
        <v>150</v>
      </c>
      <c r="D33">
        <v>1</v>
      </c>
      <c r="E33" s="20">
        <v>3.472222222222222E-3</v>
      </c>
      <c r="F33" s="21">
        <v>1.7361111111111112E-2</v>
      </c>
      <c r="G33" s="22">
        <v>45988</v>
      </c>
      <c r="H33" s="3">
        <v>2</v>
      </c>
    </row>
    <row r="34" spans="1:8" x14ac:dyDescent="0.3">
      <c r="A34" s="3" t="s">
        <v>44</v>
      </c>
      <c r="B34">
        <v>12</v>
      </c>
      <c r="C34">
        <v>0.1</v>
      </c>
      <c r="D34">
        <v>5</v>
      </c>
      <c r="E34" s="20">
        <v>3.472222222222222E-3</v>
      </c>
      <c r="F34" s="21">
        <v>1.7361111111111112E-2</v>
      </c>
      <c r="G34" s="22">
        <v>45988</v>
      </c>
      <c r="H34" s="3">
        <v>2</v>
      </c>
    </row>
    <row r="35" spans="1:8" x14ac:dyDescent="0.3">
      <c r="A35" s="3" t="s">
        <v>44</v>
      </c>
      <c r="B35">
        <v>8</v>
      </c>
      <c r="C35">
        <v>0.1</v>
      </c>
      <c r="D35">
        <v>5</v>
      </c>
      <c r="E35" s="20">
        <v>3.472222222222222E-3</v>
      </c>
      <c r="F35" s="21">
        <v>1.7361111111111112E-2</v>
      </c>
      <c r="G35" s="22">
        <v>45988</v>
      </c>
      <c r="H35" s="3">
        <v>2</v>
      </c>
    </row>
    <row r="36" spans="1:8" x14ac:dyDescent="0.3">
      <c r="A36" s="3" t="s">
        <v>44</v>
      </c>
      <c r="B36">
        <v>13</v>
      </c>
      <c r="C36">
        <v>40</v>
      </c>
      <c r="D36">
        <v>1</v>
      </c>
      <c r="E36" s="20">
        <v>3.472222222222222E-3</v>
      </c>
      <c r="F36" s="21">
        <v>1.7361111111111112E-2</v>
      </c>
      <c r="G36" s="22">
        <v>45988</v>
      </c>
      <c r="H36" s="3">
        <v>2</v>
      </c>
    </row>
    <row r="37" spans="1:8" x14ac:dyDescent="0.3">
      <c r="A37" s="3" t="s">
        <v>44</v>
      </c>
      <c r="B37">
        <v>4</v>
      </c>
      <c r="C37">
        <v>90</v>
      </c>
      <c r="D37">
        <v>1</v>
      </c>
      <c r="E37" s="20">
        <v>3.472222222222222E-3</v>
      </c>
      <c r="F37" s="21">
        <v>1.7361111111111112E-2</v>
      </c>
      <c r="G37" s="22">
        <v>45988</v>
      </c>
      <c r="H37" s="3">
        <v>2</v>
      </c>
    </row>
    <row r="38" spans="1:8" x14ac:dyDescent="0.3">
      <c r="A38" s="3" t="s">
        <v>44</v>
      </c>
      <c r="B38">
        <v>11</v>
      </c>
      <c r="C38">
        <v>50</v>
      </c>
      <c r="D38">
        <v>1</v>
      </c>
      <c r="E38" s="20">
        <v>3.472222222222222E-3</v>
      </c>
      <c r="F38" s="21">
        <v>1.7361111111111112E-2</v>
      </c>
      <c r="G38" s="22">
        <v>45988</v>
      </c>
      <c r="H38" s="3">
        <v>2</v>
      </c>
    </row>
    <row r="39" spans="1:8" x14ac:dyDescent="0.3">
      <c r="A39" s="3" t="s">
        <v>44</v>
      </c>
      <c r="B39">
        <v>9</v>
      </c>
      <c r="C39">
        <v>3</v>
      </c>
      <c r="D39">
        <v>6</v>
      </c>
      <c r="E39" s="20">
        <v>3.472222222222222E-3</v>
      </c>
      <c r="F39" s="21">
        <v>1.7361111111111112E-2</v>
      </c>
      <c r="G39" s="22">
        <v>45988</v>
      </c>
      <c r="H39" s="3">
        <v>2</v>
      </c>
    </row>
    <row r="40" spans="1:8" x14ac:dyDescent="0.3">
      <c r="A40" s="3" t="s">
        <v>44</v>
      </c>
      <c r="B40">
        <v>10</v>
      </c>
      <c r="C40">
        <v>1</v>
      </c>
      <c r="D40">
        <v>6</v>
      </c>
      <c r="E40" s="20">
        <v>3.472222222222222E-3</v>
      </c>
      <c r="F40" s="21">
        <v>1.7361111111111112E-2</v>
      </c>
      <c r="G40" s="22">
        <v>45988</v>
      </c>
      <c r="H40" s="3">
        <v>2</v>
      </c>
    </row>
    <row r="41" spans="1:8" x14ac:dyDescent="0.3">
      <c r="A41" s="3" t="s">
        <v>44</v>
      </c>
      <c r="B41">
        <v>3</v>
      </c>
      <c r="C41">
        <v>1</v>
      </c>
      <c r="D41">
        <v>8</v>
      </c>
      <c r="E41" s="20">
        <v>3.472222222222222E-3</v>
      </c>
      <c r="F41" s="21">
        <v>1.7361111111111112E-2</v>
      </c>
      <c r="G41" s="22">
        <v>45988</v>
      </c>
      <c r="H41" s="3">
        <v>2</v>
      </c>
    </row>
    <row r="42" spans="1:8" x14ac:dyDescent="0.3">
      <c r="A42" s="3" t="s">
        <v>308</v>
      </c>
      <c r="B42">
        <v>3</v>
      </c>
      <c r="C42" s="3">
        <v>800</v>
      </c>
      <c r="D42">
        <v>1</v>
      </c>
      <c r="E42" s="20">
        <v>1.0416666666666666E-2</v>
      </c>
      <c r="F42" s="21">
        <v>7.2916666666666671E-2</v>
      </c>
      <c r="G42" s="23">
        <v>46107</v>
      </c>
      <c r="H42" s="3">
        <v>2</v>
      </c>
    </row>
    <row r="43" spans="1:8" x14ac:dyDescent="0.3">
      <c r="A43" s="3" t="s">
        <v>308</v>
      </c>
      <c r="B43">
        <v>3</v>
      </c>
      <c r="C43">
        <v>12</v>
      </c>
      <c r="D43">
        <v>8</v>
      </c>
      <c r="E43" s="20">
        <v>1.0416666666666666E-2</v>
      </c>
      <c r="F43" s="21">
        <v>7.2916666666666671E-2</v>
      </c>
      <c r="G43" s="23">
        <v>46107</v>
      </c>
      <c r="H43" s="3">
        <v>2</v>
      </c>
    </row>
    <row r="44" spans="1:8" x14ac:dyDescent="0.3">
      <c r="A44" s="3" t="s">
        <v>308</v>
      </c>
      <c r="B44">
        <v>3</v>
      </c>
      <c r="C44">
        <v>220</v>
      </c>
      <c r="D44">
        <v>7</v>
      </c>
      <c r="E44" s="20">
        <v>1.0416666666666666E-2</v>
      </c>
      <c r="F44" s="21">
        <v>7.2916666666666671E-2</v>
      </c>
      <c r="G44" s="23">
        <v>46107</v>
      </c>
      <c r="H44" s="3">
        <v>2</v>
      </c>
    </row>
    <row r="45" spans="1:8" x14ac:dyDescent="0.3">
      <c r="A45" s="3" t="s">
        <v>308</v>
      </c>
      <c r="B45">
        <v>7</v>
      </c>
      <c r="C45">
        <v>25</v>
      </c>
      <c r="D45">
        <v>11</v>
      </c>
      <c r="E45" s="20">
        <v>1.0416666666666666E-2</v>
      </c>
      <c r="F45" s="21">
        <v>7.2916666666666671E-2</v>
      </c>
      <c r="G45" s="23">
        <v>46107</v>
      </c>
      <c r="H45" s="3">
        <v>2</v>
      </c>
    </row>
    <row r="46" spans="1:8" x14ac:dyDescent="0.3">
      <c r="A46" s="3" t="s">
        <v>308</v>
      </c>
      <c r="B46">
        <v>7</v>
      </c>
      <c r="C46">
        <v>3</v>
      </c>
      <c r="D46">
        <v>5</v>
      </c>
      <c r="E46" s="20">
        <v>1.0416666666666666E-2</v>
      </c>
      <c r="F46" s="21">
        <v>7.2916666666666671E-2</v>
      </c>
      <c r="G46" s="23">
        <v>46107</v>
      </c>
      <c r="H46" s="3">
        <v>2</v>
      </c>
    </row>
    <row r="47" spans="1:8" x14ac:dyDescent="0.3">
      <c r="A47" s="3" t="s">
        <v>308</v>
      </c>
      <c r="B47">
        <v>8</v>
      </c>
      <c r="C47">
        <v>4</v>
      </c>
      <c r="D47">
        <v>7</v>
      </c>
      <c r="E47" s="20">
        <v>1.0416666666666666E-2</v>
      </c>
      <c r="F47" s="21">
        <v>7.2916666666666671E-2</v>
      </c>
      <c r="G47" s="23">
        <v>46107</v>
      </c>
      <c r="H47" s="3">
        <v>2</v>
      </c>
    </row>
    <row r="48" spans="1:8" x14ac:dyDescent="0.3">
      <c r="A48" s="3" t="s">
        <v>308</v>
      </c>
      <c r="B48">
        <v>9</v>
      </c>
      <c r="C48">
        <v>100</v>
      </c>
      <c r="D48">
        <v>3</v>
      </c>
      <c r="E48" s="20">
        <v>1.0416666666666666E-2</v>
      </c>
      <c r="F48" s="21">
        <v>7.2916666666666671E-2</v>
      </c>
      <c r="G48" s="23">
        <v>46107</v>
      </c>
      <c r="H48" s="3">
        <v>2</v>
      </c>
    </row>
    <row r="49" spans="1:8" x14ac:dyDescent="0.3">
      <c r="A49" s="3" t="s">
        <v>308</v>
      </c>
      <c r="B49">
        <v>5</v>
      </c>
      <c r="C49">
        <v>300</v>
      </c>
      <c r="D49">
        <v>1</v>
      </c>
      <c r="E49" s="20">
        <v>1.0416666666666666E-2</v>
      </c>
      <c r="F49" s="21">
        <v>7.2916666666666671E-2</v>
      </c>
      <c r="G49" s="23">
        <v>46107</v>
      </c>
      <c r="H49" s="3">
        <v>2</v>
      </c>
    </row>
    <row r="50" spans="1:8" x14ac:dyDescent="0.3">
      <c r="A50" s="3" t="s">
        <v>308</v>
      </c>
      <c r="B50">
        <v>13</v>
      </c>
      <c r="C50">
        <v>600</v>
      </c>
      <c r="D50">
        <v>3</v>
      </c>
      <c r="E50" s="20">
        <v>1.0416666666666666E-2</v>
      </c>
      <c r="F50" s="21">
        <v>7.2916666666666671E-2</v>
      </c>
      <c r="G50" s="23">
        <v>46107</v>
      </c>
      <c r="H50" s="3">
        <v>2</v>
      </c>
    </row>
    <row r="51" spans="1:8" x14ac:dyDescent="0.3">
      <c r="A51" s="3" t="s">
        <v>308</v>
      </c>
      <c r="B51">
        <v>12</v>
      </c>
      <c r="C51">
        <v>0.1</v>
      </c>
      <c r="D51">
        <v>5</v>
      </c>
      <c r="E51" s="20">
        <v>1.0416666666666666E-2</v>
      </c>
      <c r="F51" s="21">
        <v>7.2916666666666671E-2</v>
      </c>
      <c r="G51" s="23">
        <v>46107</v>
      </c>
      <c r="H51" s="3">
        <v>2</v>
      </c>
    </row>
    <row r="52" spans="1:8" x14ac:dyDescent="0.3">
      <c r="A52" s="3" t="s">
        <v>308</v>
      </c>
      <c r="B52">
        <v>8</v>
      </c>
      <c r="C52">
        <v>0.1</v>
      </c>
      <c r="D52">
        <v>5</v>
      </c>
      <c r="E52" s="20">
        <v>1.0416666666666666E-2</v>
      </c>
      <c r="F52" s="21">
        <v>7.2916666666666671E-2</v>
      </c>
      <c r="G52" s="23">
        <v>46107</v>
      </c>
      <c r="H52" s="3">
        <v>2</v>
      </c>
    </row>
    <row r="53" spans="1:8" x14ac:dyDescent="0.3">
      <c r="A53" s="3" t="s">
        <v>62</v>
      </c>
      <c r="B53">
        <v>3</v>
      </c>
      <c r="C53" s="3">
        <v>1</v>
      </c>
      <c r="D53">
        <v>2</v>
      </c>
      <c r="E53" s="20">
        <v>6.9444444444444441E-3</v>
      </c>
      <c r="F53" s="20">
        <v>3.8194444444444448E-2</v>
      </c>
      <c r="G53" s="22">
        <v>46116</v>
      </c>
      <c r="H53" s="3">
        <v>3</v>
      </c>
    </row>
    <row r="54" spans="1:8" x14ac:dyDescent="0.3">
      <c r="A54" s="3" t="s">
        <v>62</v>
      </c>
      <c r="B54">
        <v>9</v>
      </c>
      <c r="C54">
        <v>3</v>
      </c>
      <c r="D54">
        <v>6</v>
      </c>
      <c r="E54" s="20">
        <v>6.9444444444444441E-3</v>
      </c>
      <c r="F54" s="20">
        <v>3.8194444444444448E-2</v>
      </c>
      <c r="G54" s="22">
        <v>46116</v>
      </c>
      <c r="H54" s="3">
        <v>3</v>
      </c>
    </row>
    <row r="55" spans="1:8" x14ac:dyDescent="0.3">
      <c r="A55" s="3" t="s">
        <v>62</v>
      </c>
      <c r="B55">
        <v>12</v>
      </c>
      <c r="C55">
        <v>2</v>
      </c>
      <c r="D55">
        <v>5</v>
      </c>
      <c r="E55" s="20">
        <v>6.9444444444444441E-3</v>
      </c>
      <c r="F55" s="20">
        <v>3.8194444444444448E-2</v>
      </c>
      <c r="G55" s="22">
        <v>46116</v>
      </c>
      <c r="H55" s="3">
        <v>3</v>
      </c>
    </row>
    <row r="56" spans="1:8" x14ac:dyDescent="0.3">
      <c r="A56" s="3" t="s">
        <v>62</v>
      </c>
      <c r="B56">
        <v>2</v>
      </c>
      <c r="C56">
        <v>160</v>
      </c>
      <c r="D56">
        <v>10</v>
      </c>
      <c r="E56" s="20">
        <v>6.9444444444444441E-3</v>
      </c>
      <c r="F56" s="20">
        <v>3.8194444444444448E-2</v>
      </c>
      <c r="G56" s="22">
        <v>46116</v>
      </c>
      <c r="H56" s="3">
        <v>3</v>
      </c>
    </row>
    <row r="57" spans="1:8" x14ac:dyDescent="0.3">
      <c r="A57" s="3" t="s">
        <v>62</v>
      </c>
      <c r="B57">
        <v>7</v>
      </c>
      <c r="C57">
        <v>5</v>
      </c>
      <c r="D57">
        <v>1</v>
      </c>
      <c r="E57" s="20">
        <v>6.9444444444444441E-3</v>
      </c>
      <c r="F57" s="20">
        <v>3.8194444444444448E-2</v>
      </c>
      <c r="G57" s="22">
        <v>46116</v>
      </c>
      <c r="H57" s="3">
        <v>3</v>
      </c>
    </row>
    <row r="58" spans="1:8" x14ac:dyDescent="0.3">
      <c r="A58" s="3" t="s">
        <v>62</v>
      </c>
      <c r="B58">
        <v>7</v>
      </c>
      <c r="C58">
        <v>5</v>
      </c>
      <c r="D58">
        <v>1</v>
      </c>
      <c r="E58" s="20">
        <v>6.9444444444444441E-3</v>
      </c>
      <c r="F58" s="20">
        <v>3.8194444444444448E-2</v>
      </c>
      <c r="G58" s="22">
        <v>46116</v>
      </c>
      <c r="H58" s="3">
        <v>3</v>
      </c>
    </row>
    <row r="59" spans="1:8" x14ac:dyDescent="0.3">
      <c r="A59" s="3" t="s">
        <v>62</v>
      </c>
      <c r="B59">
        <v>8</v>
      </c>
      <c r="C59">
        <v>0.1</v>
      </c>
      <c r="D59">
        <v>5</v>
      </c>
      <c r="E59" s="20">
        <v>6.9444444444444441E-3</v>
      </c>
      <c r="F59" s="20">
        <v>3.8194444444444448E-2</v>
      </c>
      <c r="G59" s="22">
        <v>46116</v>
      </c>
      <c r="H59" s="3">
        <v>3</v>
      </c>
    </row>
    <row r="60" spans="1:8" x14ac:dyDescent="0.3">
      <c r="A60" s="3" t="s">
        <v>62</v>
      </c>
      <c r="B60">
        <v>3</v>
      </c>
      <c r="C60" s="7">
        <v>0.5</v>
      </c>
      <c r="D60">
        <v>7</v>
      </c>
      <c r="E60" s="20">
        <v>6.9444444444444441E-3</v>
      </c>
      <c r="F60" s="20">
        <v>3.8194444444444448E-2</v>
      </c>
      <c r="G60" s="22">
        <v>46116</v>
      </c>
      <c r="H60" s="3">
        <v>3</v>
      </c>
    </row>
    <row r="61" spans="1:8" x14ac:dyDescent="0.3">
      <c r="A61" s="3" t="s">
        <v>62</v>
      </c>
      <c r="B61">
        <v>4</v>
      </c>
      <c r="C61">
        <v>2</v>
      </c>
      <c r="D61">
        <v>6</v>
      </c>
      <c r="E61" s="20">
        <v>6.9444444444444441E-3</v>
      </c>
      <c r="F61" s="20">
        <v>3.8194444444444448E-2</v>
      </c>
      <c r="G61" s="22">
        <v>46116</v>
      </c>
      <c r="H61" s="3">
        <v>3</v>
      </c>
    </row>
    <row r="62" spans="1:8" x14ac:dyDescent="0.3">
      <c r="A62" s="3" t="s">
        <v>62</v>
      </c>
      <c r="B62">
        <v>12</v>
      </c>
      <c r="C62" s="7">
        <v>0.5</v>
      </c>
      <c r="D62">
        <v>5</v>
      </c>
      <c r="E62" s="20">
        <v>6.9444444444444441E-3</v>
      </c>
      <c r="F62" s="20">
        <v>3.8194444444444448E-2</v>
      </c>
      <c r="G62" s="22">
        <v>46116</v>
      </c>
      <c r="H62" s="3">
        <v>3</v>
      </c>
    </row>
    <row r="63" spans="1:8" x14ac:dyDescent="0.3">
      <c r="A63" s="3" t="s">
        <v>62</v>
      </c>
      <c r="B63">
        <v>6</v>
      </c>
      <c r="C63">
        <v>60</v>
      </c>
      <c r="D63">
        <v>3</v>
      </c>
      <c r="E63" s="20">
        <v>6.9444444444444441E-3</v>
      </c>
      <c r="F63" s="20">
        <v>3.8194444444444448E-2</v>
      </c>
      <c r="G63" s="22">
        <v>46116</v>
      </c>
      <c r="H63" s="3">
        <v>3</v>
      </c>
    </row>
    <row r="64" spans="1:8" x14ac:dyDescent="0.3">
      <c r="A64" s="3" t="s">
        <v>62</v>
      </c>
      <c r="B64">
        <v>6</v>
      </c>
      <c r="C64">
        <v>15</v>
      </c>
      <c r="D64">
        <v>1</v>
      </c>
      <c r="E64" s="20">
        <v>6.9444444444444441E-3</v>
      </c>
      <c r="F64" s="20">
        <v>3.8194444444444448E-2</v>
      </c>
      <c r="G64" s="22">
        <v>46116</v>
      </c>
      <c r="H64" s="3">
        <v>3</v>
      </c>
    </row>
    <row r="65" spans="1:8" x14ac:dyDescent="0.3">
      <c r="A65" s="3" t="s">
        <v>62</v>
      </c>
      <c r="B65">
        <v>3</v>
      </c>
      <c r="C65">
        <v>1</v>
      </c>
      <c r="D65">
        <v>8</v>
      </c>
      <c r="E65" s="20">
        <v>6.9444444444444441E-3</v>
      </c>
      <c r="F65" s="20">
        <v>3.8194444444444448E-2</v>
      </c>
      <c r="G65" s="22">
        <v>46116</v>
      </c>
      <c r="H65" s="3">
        <v>3</v>
      </c>
    </row>
    <row r="66" spans="1:8" x14ac:dyDescent="0.3">
      <c r="A66" s="3" t="s">
        <v>62</v>
      </c>
      <c r="B66">
        <v>3</v>
      </c>
      <c r="C66">
        <v>2</v>
      </c>
      <c r="D66">
        <v>7</v>
      </c>
      <c r="E66" s="20">
        <v>6.9444444444444441E-3</v>
      </c>
      <c r="F66" s="20">
        <v>3.8194444444444448E-2</v>
      </c>
      <c r="G66" s="22">
        <v>46116</v>
      </c>
      <c r="H66" s="3">
        <v>3</v>
      </c>
    </row>
    <row r="67" spans="1:8" x14ac:dyDescent="0.3">
      <c r="A67" s="3" t="s">
        <v>83</v>
      </c>
      <c r="B67">
        <v>4</v>
      </c>
      <c r="C67" s="3">
        <v>2</v>
      </c>
      <c r="D67">
        <v>7</v>
      </c>
      <c r="E67" s="21">
        <v>6.25E-2</v>
      </c>
      <c r="F67" s="21">
        <v>5.5555555555555552E-2</v>
      </c>
      <c r="G67" s="23">
        <v>46114</v>
      </c>
      <c r="H67" s="3">
        <v>4</v>
      </c>
    </row>
    <row r="68" spans="1:8" x14ac:dyDescent="0.3">
      <c r="A68" s="3" t="s">
        <v>83</v>
      </c>
      <c r="B68">
        <v>5</v>
      </c>
      <c r="C68">
        <v>500</v>
      </c>
      <c r="D68">
        <v>1</v>
      </c>
      <c r="E68" s="21">
        <v>6.25E-2</v>
      </c>
      <c r="F68" s="21">
        <v>5.5555555555555552E-2</v>
      </c>
      <c r="G68" s="23">
        <v>46114</v>
      </c>
      <c r="H68" s="3">
        <v>4</v>
      </c>
    </row>
    <row r="69" spans="1:8" x14ac:dyDescent="0.3">
      <c r="A69" s="3" t="s">
        <v>83</v>
      </c>
      <c r="B69">
        <v>10</v>
      </c>
      <c r="C69">
        <v>400</v>
      </c>
      <c r="D69">
        <v>1</v>
      </c>
      <c r="E69" s="21">
        <v>6.25E-2</v>
      </c>
      <c r="F69" s="21">
        <v>5.5555555555555552E-2</v>
      </c>
      <c r="G69" s="23">
        <v>46114</v>
      </c>
      <c r="H69" s="3">
        <v>4</v>
      </c>
    </row>
    <row r="70" spans="1:8" x14ac:dyDescent="0.3">
      <c r="A70" s="3" t="s">
        <v>83</v>
      </c>
      <c r="B70">
        <v>8</v>
      </c>
      <c r="C70">
        <v>1</v>
      </c>
      <c r="D70">
        <v>7</v>
      </c>
      <c r="E70" s="21">
        <v>6.25E-2</v>
      </c>
      <c r="F70" s="21">
        <v>5.5555555555555552E-2</v>
      </c>
      <c r="G70" s="23">
        <v>46114</v>
      </c>
      <c r="H70" s="3">
        <v>4</v>
      </c>
    </row>
    <row r="71" spans="1:8" x14ac:dyDescent="0.3">
      <c r="A71" s="3" t="s">
        <v>83</v>
      </c>
      <c r="B71">
        <v>9</v>
      </c>
      <c r="C71">
        <v>200</v>
      </c>
      <c r="D71">
        <v>3</v>
      </c>
      <c r="E71" s="21">
        <v>6.25E-2</v>
      </c>
      <c r="F71" s="21">
        <v>5.5555555555555552E-2</v>
      </c>
      <c r="G71" s="23">
        <v>46114</v>
      </c>
      <c r="H71" s="3">
        <v>4</v>
      </c>
    </row>
    <row r="72" spans="1:8" x14ac:dyDescent="0.3">
      <c r="A72" s="3" t="s">
        <v>83</v>
      </c>
      <c r="B72">
        <v>6</v>
      </c>
      <c r="C72">
        <v>250</v>
      </c>
      <c r="D72">
        <v>1</v>
      </c>
      <c r="E72" s="21">
        <v>6.25E-2</v>
      </c>
      <c r="F72" s="21">
        <v>5.5555555555555552E-2</v>
      </c>
      <c r="G72" s="23">
        <v>46114</v>
      </c>
      <c r="H72" s="3">
        <v>4</v>
      </c>
    </row>
    <row r="73" spans="1:8" x14ac:dyDescent="0.3">
      <c r="A73" s="3" t="s">
        <v>83</v>
      </c>
      <c r="B73">
        <v>6</v>
      </c>
      <c r="C73">
        <v>5</v>
      </c>
      <c r="D73">
        <v>7</v>
      </c>
      <c r="E73" s="21">
        <v>6.25E-2</v>
      </c>
      <c r="F73" s="21">
        <v>5.5555555555555552E-2</v>
      </c>
      <c r="G73" s="23">
        <v>46114</v>
      </c>
      <c r="H73" s="3">
        <v>4</v>
      </c>
    </row>
    <row r="74" spans="1:8" x14ac:dyDescent="0.3">
      <c r="A74" s="3" t="s">
        <v>83</v>
      </c>
      <c r="B74">
        <v>10</v>
      </c>
      <c r="C74">
        <v>1</v>
      </c>
      <c r="D74">
        <v>5</v>
      </c>
      <c r="E74" s="21">
        <v>6.25E-2</v>
      </c>
      <c r="F74" s="21">
        <v>5.5555555555555552E-2</v>
      </c>
      <c r="G74" s="23">
        <v>46114</v>
      </c>
      <c r="H74" s="3">
        <v>4</v>
      </c>
    </row>
    <row r="75" spans="1:8" x14ac:dyDescent="0.3">
      <c r="A75" s="3" t="s">
        <v>83</v>
      </c>
      <c r="B75">
        <v>10</v>
      </c>
      <c r="C75">
        <v>1</v>
      </c>
      <c r="D75">
        <v>5</v>
      </c>
      <c r="E75" s="21">
        <v>6.25E-2</v>
      </c>
      <c r="F75" s="21">
        <v>5.5555555555555552E-2</v>
      </c>
      <c r="G75" s="23">
        <v>46114</v>
      </c>
      <c r="H75" s="3">
        <v>4</v>
      </c>
    </row>
    <row r="76" spans="1:8" x14ac:dyDescent="0.3">
      <c r="A76" s="3" t="s">
        <v>108</v>
      </c>
      <c r="B76">
        <v>5</v>
      </c>
      <c r="C76" s="3">
        <v>140</v>
      </c>
      <c r="D76">
        <v>1</v>
      </c>
      <c r="E76" s="20">
        <v>6.9444444444444441E-3</v>
      </c>
      <c r="F76" s="20">
        <v>2.0833333333333332E-2</v>
      </c>
      <c r="G76" s="22">
        <v>46127</v>
      </c>
      <c r="H76" s="3">
        <v>5</v>
      </c>
    </row>
    <row r="77" spans="1:8" x14ac:dyDescent="0.3">
      <c r="A77" s="3" t="s">
        <v>108</v>
      </c>
      <c r="B77">
        <v>5</v>
      </c>
      <c r="C77">
        <v>150</v>
      </c>
      <c r="D77">
        <v>1</v>
      </c>
      <c r="E77" s="20">
        <v>6.9444444444444441E-3</v>
      </c>
      <c r="F77" s="20">
        <v>2.0833333333333332E-2</v>
      </c>
      <c r="G77" s="22">
        <v>46127</v>
      </c>
      <c r="H77" s="3">
        <v>5</v>
      </c>
    </row>
    <row r="78" spans="1:8" x14ac:dyDescent="0.3">
      <c r="A78" s="3" t="s">
        <v>108</v>
      </c>
      <c r="B78">
        <v>10</v>
      </c>
      <c r="C78">
        <v>1</v>
      </c>
      <c r="D78">
        <v>5</v>
      </c>
      <c r="E78" s="20">
        <v>6.9444444444444441E-3</v>
      </c>
      <c r="F78" s="20">
        <v>2.0833333333333332E-2</v>
      </c>
      <c r="G78" s="22">
        <v>46127</v>
      </c>
      <c r="H78" s="3">
        <v>5</v>
      </c>
    </row>
    <row r="79" spans="1:8" x14ac:dyDescent="0.3">
      <c r="A79" s="3" t="s">
        <v>108</v>
      </c>
      <c r="B79">
        <v>8</v>
      </c>
      <c r="C79">
        <v>1</v>
      </c>
      <c r="D79">
        <v>5</v>
      </c>
      <c r="E79" s="20">
        <v>6.9444444444444441E-3</v>
      </c>
      <c r="F79" s="20">
        <v>2.0833333333333332E-2</v>
      </c>
      <c r="G79" s="22">
        <v>46127</v>
      </c>
      <c r="H79" s="3">
        <v>5</v>
      </c>
    </row>
    <row r="80" spans="1:8" x14ac:dyDescent="0.3">
      <c r="A80" s="3" t="s">
        <v>108</v>
      </c>
      <c r="B80">
        <v>6</v>
      </c>
      <c r="C80">
        <v>1</v>
      </c>
      <c r="D80">
        <v>7</v>
      </c>
      <c r="E80" s="20">
        <v>6.9444444444444441E-3</v>
      </c>
      <c r="F80" s="20">
        <v>2.0833333333333332E-2</v>
      </c>
      <c r="G80" s="22">
        <v>46127</v>
      </c>
      <c r="H80" s="3">
        <v>5</v>
      </c>
    </row>
    <row r="81" spans="1:8" x14ac:dyDescent="0.3">
      <c r="A81" s="3" t="s">
        <v>108</v>
      </c>
      <c r="B81">
        <v>9</v>
      </c>
      <c r="C81">
        <v>160</v>
      </c>
      <c r="D81">
        <v>3</v>
      </c>
      <c r="E81" s="20">
        <v>6.9444444444444441E-3</v>
      </c>
      <c r="F81" s="20">
        <v>2.0833333333333332E-2</v>
      </c>
      <c r="G81" s="22">
        <v>46127</v>
      </c>
      <c r="H81" s="3">
        <v>5</v>
      </c>
    </row>
    <row r="82" spans="1:8" x14ac:dyDescent="0.3">
      <c r="A82" s="3" t="s">
        <v>108</v>
      </c>
      <c r="B82">
        <v>10</v>
      </c>
      <c r="C82">
        <v>1</v>
      </c>
      <c r="D82">
        <v>5</v>
      </c>
      <c r="E82" s="20">
        <v>6.9444444444444441E-3</v>
      </c>
      <c r="F82" s="20">
        <v>2.0833333333333332E-2</v>
      </c>
      <c r="G82" s="22">
        <v>46127</v>
      </c>
      <c r="H82" s="3">
        <v>5</v>
      </c>
    </row>
    <row r="83" spans="1:8" x14ac:dyDescent="0.3">
      <c r="A83" s="3" t="s">
        <v>108</v>
      </c>
      <c r="B83">
        <v>10</v>
      </c>
      <c r="C83">
        <v>180</v>
      </c>
      <c r="D83">
        <v>3</v>
      </c>
      <c r="E83" s="20">
        <v>6.9444444444444441E-3</v>
      </c>
      <c r="F83" s="20">
        <v>2.0833333333333332E-2</v>
      </c>
      <c r="G83" s="22">
        <v>46127</v>
      </c>
      <c r="H83" s="3">
        <v>5</v>
      </c>
    </row>
    <row r="84" spans="1:8" x14ac:dyDescent="0.3">
      <c r="A84" s="3" t="s">
        <v>108</v>
      </c>
      <c r="B84">
        <v>6</v>
      </c>
      <c r="C84">
        <v>80</v>
      </c>
      <c r="D84">
        <v>3</v>
      </c>
      <c r="E84" s="20">
        <v>6.9444444444444441E-3</v>
      </c>
      <c r="F84" s="20">
        <v>2.0833333333333332E-2</v>
      </c>
      <c r="G84" s="22">
        <v>46127</v>
      </c>
      <c r="H84" s="3">
        <v>5</v>
      </c>
    </row>
    <row r="85" spans="1:8" x14ac:dyDescent="0.3">
      <c r="A85" s="3" t="s">
        <v>108</v>
      </c>
      <c r="B85">
        <v>4</v>
      </c>
      <c r="C85">
        <v>375</v>
      </c>
      <c r="D85">
        <v>1</v>
      </c>
      <c r="E85" s="20">
        <v>6.9444444444444441E-3</v>
      </c>
      <c r="F85" s="20">
        <v>2.0833333333333332E-2</v>
      </c>
      <c r="G85" s="22">
        <v>46127</v>
      </c>
      <c r="H85" s="3">
        <v>5</v>
      </c>
    </row>
    <row r="86" spans="1:8" x14ac:dyDescent="0.3">
      <c r="A86" s="3" t="s">
        <v>107</v>
      </c>
      <c r="B86">
        <v>3</v>
      </c>
      <c r="C86" s="3">
        <v>15</v>
      </c>
      <c r="D86">
        <v>1</v>
      </c>
      <c r="E86" s="20">
        <v>6.9444444444444441E-3</v>
      </c>
      <c r="F86" s="20">
        <v>4.1666666666666664E-2</v>
      </c>
      <c r="G86" s="22">
        <v>46122</v>
      </c>
      <c r="H86" s="3">
        <v>6</v>
      </c>
    </row>
    <row r="87" spans="1:8" x14ac:dyDescent="0.3">
      <c r="A87" s="3" t="s">
        <v>107</v>
      </c>
      <c r="B87">
        <v>3</v>
      </c>
      <c r="C87">
        <v>4</v>
      </c>
      <c r="D87">
        <v>8</v>
      </c>
      <c r="E87" s="20">
        <v>6.9444444444444441E-3</v>
      </c>
      <c r="F87" s="20">
        <v>4.1666666666666664E-2</v>
      </c>
      <c r="G87" s="22">
        <v>46122</v>
      </c>
      <c r="H87" s="3">
        <v>6</v>
      </c>
    </row>
    <row r="88" spans="1:8" x14ac:dyDescent="0.3">
      <c r="A88" s="3" t="s">
        <v>107</v>
      </c>
      <c r="B88">
        <v>3</v>
      </c>
      <c r="C88">
        <v>2</v>
      </c>
      <c r="D88">
        <v>7</v>
      </c>
      <c r="E88" s="20">
        <v>6.9444444444444441E-3</v>
      </c>
      <c r="F88" s="20">
        <v>4.1666666666666664E-2</v>
      </c>
      <c r="G88" s="22">
        <v>46122</v>
      </c>
      <c r="H88" s="3">
        <v>6</v>
      </c>
    </row>
    <row r="89" spans="1:8" x14ac:dyDescent="0.3">
      <c r="A89" s="3" t="s">
        <v>107</v>
      </c>
      <c r="B89">
        <v>3</v>
      </c>
      <c r="C89">
        <v>2</v>
      </c>
      <c r="D89">
        <v>7</v>
      </c>
      <c r="E89" s="20">
        <v>6.9444444444444441E-3</v>
      </c>
      <c r="F89" s="20">
        <v>4.1666666666666664E-2</v>
      </c>
      <c r="G89" s="22">
        <v>46122</v>
      </c>
      <c r="H89" s="3">
        <v>6</v>
      </c>
    </row>
    <row r="90" spans="1:8" x14ac:dyDescent="0.3">
      <c r="A90" s="3" t="s">
        <v>107</v>
      </c>
      <c r="B90">
        <v>3</v>
      </c>
      <c r="C90">
        <v>200</v>
      </c>
      <c r="D90">
        <v>7</v>
      </c>
      <c r="E90" s="20">
        <v>6.9444444444444441E-3</v>
      </c>
      <c r="F90" s="20">
        <v>4.1666666666666664E-2</v>
      </c>
      <c r="G90" s="22">
        <v>46122</v>
      </c>
      <c r="H90" s="3">
        <v>6</v>
      </c>
    </row>
    <row r="91" spans="1:8" x14ac:dyDescent="0.3">
      <c r="A91" s="3" t="s">
        <v>107</v>
      </c>
      <c r="B91">
        <v>3</v>
      </c>
      <c r="C91">
        <v>4</v>
      </c>
      <c r="D91">
        <v>7</v>
      </c>
      <c r="E91" s="20">
        <v>6.9444444444444441E-3</v>
      </c>
      <c r="F91" s="20">
        <v>4.1666666666666664E-2</v>
      </c>
      <c r="G91" s="22">
        <v>46122</v>
      </c>
      <c r="H91" s="3">
        <v>6</v>
      </c>
    </row>
    <row r="92" spans="1:8" x14ac:dyDescent="0.3">
      <c r="A92" s="3" t="s">
        <v>107</v>
      </c>
      <c r="B92">
        <v>7</v>
      </c>
      <c r="C92">
        <v>50</v>
      </c>
      <c r="D92">
        <v>1</v>
      </c>
      <c r="E92" s="20">
        <v>6.9444444444444441E-3</v>
      </c>
      <c r="F92" s="20">
        <v>4.1666666666666664E-2</v>
      </c>
      <c r="G92" s="22">
        <v>46122</v>
      </c>
      <c r="H92" s="3">
        <v>6</v>
      </c>
    </row>
    <row r="93" spans="1:8" x14ac:dyDescent="0.3">
      <c r="A93" s="3" t="s">
        <v>107</v>
      </c>
      <c r="B93">
        <v>4</v>
      </c>
      <c r="C93">
        <v>1</v>
      </c>
      <c r="D93">
        <v>7</v>
      </c>
      <c r="E93" s="20">
        <v>6.9444444444444441E-3</v>
      </c>
      <c r="F93" s="20">
        <v>4.1666666666666664E-2</v>
      </c>
      <c r="G93" s="22">
        <v>46122</v>
      </c>
      <c r="H93" s="3">
        <v>6</v>
      </c>
    </row>
    <row r="94" spans="1:8" x14ac:dyDescent="0.3">
      <c r="A94" s="3" t="s">
        <v>107</v>
      </c>
      <c r="B94">
        <v>10</v>
      </c>
      <c r="C94">
        <v>1</v>
      </c>
      <c r="D94">
        <v>6</v>
      </c>
      <c r="E94" s="20">
        <v>6.9444444444444441E-3</v>
      </c>
      <c r="F94" s="20">
        <v>4.1666666666666664E-2</v>
      </c>
      <c r="G94" s="22">
        <v>46122</v>
      </c>
      <c r="H94" s="3">
        <v>6</v>
      </c>
    </row>
    <row r="95" spans="1:8" x14ac:dyDescent="0.3">
      <c r="A95" s="3" t="s">
        <v>107</v>
      </c>
      <c r="B95">
        <v>10</v>
      </c>
      <c r="C95" s="7" t="s">
        <v>69</v>
      </c>
      <c r="D95">
        <v>6</v>
      </c>
      <c r="E95" s="20">
        <v>6.9444444444444441E-3</v>
      </c>
      <c r="F95" s="20">
        <v>4.1666666666666664E-2</v>
      </c>
      <c r="G95" s="22">
        <v>46122</v>
      </c>
      <c r="H95" s="3">
        <v>6</v>
      </c>
    </row>
    <row r="96" spans="1:8" x14ac:dyDescent="0.3">
      <c r="A96" s="3" t="s">
        <v>107</v>
      </c>
      <c r="B96">
        <v>10</v>
      </c>
      <c r="C96">
        <v>3</v>
      </c>
      <c r="D96">
        <v>6</v>
      </c>
      <c r="E96" s="20">
        <v>6.9444444444444441E-3</v>
      </c>
      <c r="F96" s="20">
        <v>4.1666666666666664E-2</v>
      </c>
      <c r="G96" s="22">
        <v>46122</v>
      </c>
      <c r="H96" s="3">
        <v>6</v>
      </c>
    </row>
    <row r="97" spans="1:8" x14ac:dyDescent="0.3">
      <c r="A97" s="3" t="s">
        <v>119</v>
      </c>
      <c r="B97">
        <v>10</v>
      </c>
      <c r="C97" s="3">
        <v>2</v>
      </c>
      <c r="D97">
        <v>5</v>
      </c>
      <c r="E97" s="20">
        <v>6.9444444444444441E-3</v>
      </c>
      <c r="F97" s="20">
        <v>8.3333333333333329E-2</v>
      </c>
      <c r="G97" s="22">
        <v>46129</v>
      </c>
      <c r="H97" s="3">
        <v>7</v>
      </c>
    </row>
    <row r="98" spans="1:8" x14ac:dyDescent="0.3">
      <c r="A98" s="3" t="s">
        <v>119</v>
      </c>
      <c r="B98">
        <v>10</v>
      </c>
      <c r="C98">
        <v>2</v>
      </c>
      <c r="D98">
        <v>6</v>
      </c>
      <c r="E98" s="20">
        <v>6.9444444444444441E-3</v>
      </c>
      <c r="F98" s="20">
        <v>8.3333333333333329E-2</v>
      </c>
      <c r="G98" s="22">
        <v>46129</v>
      </c>
      <c r="H98" s="3">
        <v>7</v>
      </c>
    </row>
    <row r="99" spans="1:8" x14ac:dyDescent="0.3">
      <c r="A99" s="3" t="s">
        <v>119</v>
      </c>
      <c r="B99">
        <v>1</v>
      </c>
      <c r="C99">
        <v>1.3</v>
      </c>
      <c r="D99">
        <v>2</v>
      </c>
      <c r="E99" s="20">
        <v>6.9444444444444441E-3</v>
      </c>
      <c r="F99" s="20">
        <v>8.3333333333333329E-2</v>
      </c>
      <c r="G99" s="22">
        <v>46129</v>
      </c>
      <c r="H99" s="3">
        <v>7</v>
      </c>
    </row>
    <row r="100" spans="1:8" x14ac:dyDescent="0.3">
      <c r="A100" s="3" t="s">
        <v>119</v>
      </c>
      <c r="B100">
        <v>10</v>
      </c>
      <c r="C100">
        <v>500</v>
      </c>
      <c r="D100">
        <v>3</v>
      </c>
      <c r="E100" s="20">
        <v>6.9444444444444441E-3</v>
      </c>
      <c r="F100" s="20">
        <v>8.3333333333333329E-2</v>
      </c>
      <c r="G100" s="22">
        <v>46129</v>
      </c>
      <c r="H100" s="3">
        <v>7</v>
      </c>
    </row>
    <row r="101" spans="1:8" x14ac:dyDescent="0.3">
      <c r="A101" s="3" t="s">
        <v>119</v>
      </c>
      <c r="B101">
        <v>10</v>
      </c>
      <c r="C101">
        <v>2</v>
      </c>
      <c r="D101">
        <v>6</v>
      </c>
      <c r="E101" s="20">
        <v>6.9444444444444441E-3</v>
      </c>
      <c r="F101" s="20">
        <v>8.3333333333333329E-2</v>
      </c>
      <c r="G101" s="22">
        <v>46129</v>
      </c>
      <c r="H101" s="3">
        <v>7</v>
      </c>
    </row>
    <row r="102" spans="1:8" x14ac:dyDescent="0.3">
      <c r="A102" s="3" t="s">
        <v>119</v>
      </c>
      <c r="B102">
        <v>10</v>
      </c>
      <c r="C102">
        <v>1</v>
      </c>
      <c r="D102">
        <v>10</v>
      </c>
      <c r="E102" s="20">
        <v>6.9444444444444441E-3</v>
      </c>
      <c r="F102" s="20">
        <v>8.3333333333333329E-2</v>
      </c>
      <c r="G102" s="22">
        <v>46129</v>
      </c>
      <c r="H102" s="3">
        <v>7</v>
      </c>
    </row>
    <row r="103" spans="1:8" x14ac:dyDescent="0.3">
      <c r="A103" s="3" t="s">
        <v>119</v>
      </c>
      <c r="B103">
        <v>6</v>
      </c>
      <c r="C103">
        <v>20</v>
      </c>
      <c r="D103">
        <v>1</v>
      </c>
      <c r="E103" s="20">
        <v>6.9444444444444441E-3</v>
      </c>
      <c r="F103" s="20">
        <v>8.3333333333333329E-2</v>
      </c>
      <c r="G103" s="22">
        <v>46129</v>
      </c>
      <c r="H103" s="3">
        <v>7</v>
      </c>
    </row>
    <row r="104" spans="1:8" x14ac:dyDescent="0.3">
      <c r="A104" s="3" t="s">
        <v>119</v>
      </c>
      <c r="B104">
        <v>7</v>
      </c>
      <c r="C104">
        <v>10</v>
      </c>
      <c r="D104">
        <v>11</v>
      </c>
      <c r="E104" s="20">
        <v>6.9444444444444441E-3</v>
      </c>
      <c r="F104" s="20">
        <v>8.3333333333333329E-2</v>
      </c>
      <c r="G104" s="22">
        <v>46129</v>
      </c>
      <c r="H104" s="3">
        <v>7</v>
      </c>
    </row>
    <row r="105" spans="1:8" x14ac:dyDescent="0.3">
      <c r="A105" s="3" t="s">
        <v>119</v>
      </c>
      <c r="B105">
        <v>7</v>
      </c>
      <c r="C105">
        <v>5</v>
      </c>
      <c r="D105">
        <v>1</v>
      </c>
      <c r="E105" s="20">
        <v>6.9444444444444441E-3</v>
      </c>
      <c r="F105" s="20">
        <v>8.3333333333333329E-2</v>
      </c>
      <c r="G105" s="22">
        <v>46129</v>
      </c>
      <c r="H105" s="3">
        <v>7</v>
      </c>
    </row>
    <row r="106" spans="1:8" x14ac:dyDescent="0.3">
      <c r="A106" s="3" t="s">
        <v>119</v>
      </c>
      <c r="B106">
        <v>7</v>
      </c>
      <c r="C106">
        <v>5</v>
      </c>
      <c r="D106">
        <v>1</v>
      </c>
      <c r="E106" s="20">
        <v>6.9444444444444441E-3</v>
      </c>
      <c r="F106" s="20">
        <v>8.3333333333333329E-2</v>
      </c>
      <c r="G106" s="22">
        <v>46129</v>
      </c>
      <c r="H106" s="3">
        <v>7</v>
      </c>
    </row>
    <row r="107" spans="1:8" x14ac:dyDescent="0.3">
      <c r="A107" s="3" t="s">
        <v>119</v>
      </c>
      <c r="B107">
        <v>7</v>
      </c>
      <c r="C107">
        <v>5</v>
      </c>
      <c r="D107">
        <v>1</v>
      </c>
      <c r="E107" s="20">
        <v>6.9444444444444441E-3</v>
      </c>
      <c r="F107" s="20">
        <v>8.3333333333333329E-2</v>
      </c>
      <c r="G107" s="22">
        <v>46129</v>
      </c>
      <c r="H107" s="3">
        <v>7</v>
      </c>
    </row>
    <row r="108" spans="1:8" x14ac:dyDescent="0.3">
      <c r="A108" s="3" t="s">
        <v>119</v>
      </c>
      <c r="B108">
        <v>12</v>
      </c>
      <c r="C108">
        <v>0.1</v>
      </c>
      <c r="D108">
        <v>5</v>
      </c>
      <c r="E108" s="20">
        <v>6.9444444444444441E-3</v>
      </c>
      <c r="F108" s="20">
        <v>8.3333333333333329E-2</v>
      </c>
      <c r="G108" s="22">
        <v>46129</v>
      </c>
      <c r="H108" s="3">
        <v>7</v>
      </c>
    </row>
    <row r="109" spans="1:8" x14ac:dyDescent="0.3">
      <c r="A109" s="3" t="s">
        <v>119</v>
      </c>
      <c r="B109">
        <v>8</v>
      </c>
      <c r="C109">
        <v>0.1</v>
      </c>
      <c r="D109">
        <v>5</v>
      </c>
      <c r="E109" s="20">
        <v>6.9444444444444441E-3</v>
      </c>
      <c r="F109" s="20">
        <v>8.3333333333333329E-2</v>
      </c>
      <c r="G109" s="22">
        <v>46129</v>
      </c>
      <c r="H109" s="3">
        <v>7</v>
      </c>
    </row>
    <row r="110" spans="1:8" x14ac:dyDescent="0.3">
      <c r="A110" s="3" t="s">
        <v>132</v>
      </c>
      <c r="B110">
        <v>3</v>
      </c>
      <c r="C110" s="3">
        <v>4</v>
      </c>
      <c r="D110">
        <v>7</v>
      </c>
      <c r="E110" s="20">
        <v>6.9444444444444441E-3</v>
      </c>
      <c r="F110" s="20">
        <v>2.7777777777777776E-2</v>
      </c>
      <c r="G110" s="22">
        <v>46073</v>
      </c>
      <c r="H110" s="3">
        <v>8</v>
      </c>
    </row>
    <row r="111" spans="1:8" x14ac:dyDescent="0.3">
      <c r="A111" s="3" t="s">
        <v>132</v>
      </c>
      <c r="B111">
        <v>9</v>
      </c>
      <c r="C111">
        <v>3</v>
      </c>
      <c r="D111">
        <v>6</v>
      </c>
      <c r="E111" s="20">
        <v>6.9444444444444441E-3</v>
      </c>
      <c r="F111" s="20">
        <v>2.7777777777777776E-2</v>
      </c>
      <c r="G111" s="22">
        <v>46073</v>
      </c>
      <c r="H111" s="3">
        <v>8</v>
      </c>
    </row>
    <row r="112" spans="1:8" x14ac:dyDescent="0.3">
      <c r="A112" s="3" t="s">
        <v>132</v>
      </c>
      <c r="B112">
        <v>3</v>
      </c>
      <c r="C112">
        <v>2</v>
      </c>
      <c r="D112">
        <v>8</v>
      </c>
      <c r="E112" s="20">
        <v>6.9444444444444441E-3</v>
      </c>
      <c r="F112" s="20">
        <v>2.7777777777777776E-2</v>
      </c>
      <c r="G112" s="22">
        <v>46073</v>
      </c>
      <c r="H112" s="3">
        <v>8</v>
      </c>
    </row>
    <row r="113" spans="1:8" x14ac:dyDescent="0.3">
      <c r="A113" s="3" t="s">
        <v>132</v>
      </c>
      <c r="B113">
        <v>8</v>
      </c>
      <c r="C113">
        <v>3</v>
      </c>
      <c r="D113">
        <v>5</v>
      </c>
      <c r="E113" s="20">
        <v>6.9444444444444441E-3</v>
      </c>
      <c r="F113" s="20">
        <v>2.7777777777777776E-2</v>
      </c>
      <c r="G113" s="22">
        <v>46073</v>
      </c>
      <c r="H113" s="3">
        <v>8</v>
      </c>
    </row>
    <row r="114" spans="1:8" x14ac:dyDescent="0.3">
      <c r="A114" s="3" t="s">
        <v>132</v>
      </c>
      <c r="B114">
        <v>8</v>
      </c>
      <c r="C114">
        <v>3</v>
      </c>
      <c r="D114">
        <v>5</v>
      </c>
      <c r="E114" s="20">
        <v>6.9444444444444441E-3</v>
      </c>
      <c r="F114" s="20">
        <v>2.7777777777777776E-2</v>
      </c>
      <c r="G114" s="22">
        <v>46073</v>
      </c>
      <c r="H114" s="3">
        <v>8</v>
      </c>
    </row>
    <row r="115" spans="1:8" x14ac:dyDescent="0.3">
      <c r="A115" s="3" t="s">
        <v>132</v>
      </c>
      <c r="B115">
        <v>12</v>
      </c>
      <c r="C115">
        <v>0.1</v>
      </c>
      <c r="D115">
        <v>5</v>
      </c>
      <c r="E115" s="20">
        <v>6.9444444444444441E-3</v>
      </c>
      <c r="F115" s="20">
        <v>2.7777777777777776E-2</v>
      </c>
      <c r="G115" s="22">
        <v>46073</v>
      </c>
      <c r="H115" s="3">
        <v>8</v>
      </c>
    </row>
    <row r="116" spans="1:8" x14ac:dyDescent="0.3">
      <c r="A116" s="3" t="s">
        <v>132</v>
      </c>
      <c r="B116">
        <v>8</v>
      </c>
      <c r="C116">
        <v>0.1</v>
      </c>
      <c r="D116">
        <v>5</v>
      </c>
      <c r="E116" s="20">
        <v>6.9444444444444441E-3</v>
      </c>
      <c r="F116" s="20">
        <v>2.7777777777777776E-2</v>
      </c>
      <c r="G116" s="22">
        <v>46073</v>
      </c>
      <c r="H116" s="3">
        <v>8</v>
      </c>
    </row>
    <row r="117" spans="1:8" x14ac:dyDescent="0.3">
      <c r="A117" s="3" t="s">
        <v>132</v>
      </c>
      <c r="B117">
        <v>6</v>
      </c>
      <c r="C117">
        <v>25</v>
      </c>
      <c r="D117">
        <v>1</v>
      </c>
      <c r="E117" s="20">
        <v>6.9444444444444441E-3</v>
      </c>
      <c r="F117" s="20">
        <v>2.7777777777777776E-2</v>
      </c>
      <c r="G117" s="22">
        <v>46073</v>
      </c>
      <c r="H117" s="3">
        <v>8</v>
      </c>
    </row>
    <row r="118" spans="1:8" x14ac:dyDescent="0.3">
      <c r="A118" s="3" t="s">
        <v>141</v>
      </c>
      <c r="B118">
        <v>3</v>
      </c>
      <c r="C118" s="3">
        <v>25</v>
      </c>
      <c r="D118">
        <v>1</v>
      </c>
      <c r="E118" s="20">
        <v>1.3888888888888888E-2</v>
      </c>
      <c r="F118" s="21">
        <v>7.2916666666666671E-2</v>
      </c>
      <c r="G118" s="23">
        <v>46013</v>
      </c>
      <c r="H118" s="3">
        <v>9</v>
      </c>
    </row>
    <row r="119" spans="1:8" x14ac:dyDescent="0.3">
      <c r="A119" s="3" t="s">
        <v>141</v>
      </c>
      <c r="B119">
        <v>13</v>
      </c>
      <c r="C119">
        <v>275</v>
      </c>
      <c r="D119">
        <v>3</v>
      </c>
      <c r="E119" s="20">
        <v>1.3888888888888888E-2</v>
      </c>
      <c r="F119" s="21">
        <v>7.2916666666666671E-2</v>
      </c>
      <c r="G119" s="23">
        <v>46013</v>
      </c>
      <c r="H119" s="3">
        <v>9</v>
      </c>
    </row>
    <row r="120" spans="1:8" x14ac:dyDescent="0.3">
      <c r="A120" s="3" t="s">
        <v>141</v>
      </c>
      <c r="B120">
        <v>6</v>
      </c>
      <c r="C120">
        <v>75</v>
      </c>
      <c r="D120">
        <v>1</v>
      </c>
      <c r="E120" s="20">
        <v>1.3888888888888888E-2</v>
      </c>
      <c r="F120" s="21">
        <v>7.2916666666666671E-2</v>
      </c>
      <c r="G120" s="23">
        <v>46013</v>
      </c>
      <c r="H120" s="3">
        <v>9</v>
      </c>
    </row>
    <row r="121" spans="1:8" x14ac:dyDescent="0.3">
      <c r="A121" s="3" t="s">
        <v>141</v>
      </c>
      <c r="B121">
        <v>3</v>
      </c>
      <c r="C121">
        <v>110</v>
      </c>
      <c r="D121">
        <v>1</v>
      </c>
      <c r="E121" s="20">
        <v>1.3888888888888888E-2</v>
      </c>
      <c r="F121" s="21">
        <v>7.2916666666666671E-2</v>
      </c>
      <c r="G121" s="23">
        <v>46013</v>
      </c>
      <c r="H121" s="3">
        <v>9</v>
      </c>
    </row>
    <row r="122" spans="1:8" x14ac:dyDescent="0.3">
      <c r="A122" s="3" t="s">
        <v>141</v>
      </c>
      <c r="B122">
        <v>3</v>
      </c>
      <c r="C122">
        <v>2</v>
      </c>
      <c r="D122">
        <v>7</v>
      </c>
      <c r="E122" s="20">
        <v>1.3888888888888888E-2</v>
      </c>
      <c r="F122" s="21">
        <v>7.2916666666666671E-2</v>
      </c>
      <c r="G122" s="23">
        <v>46013</v>
      </c>
      <c r="H122" s="3">
        <v>9</v>
      </c>
    </row>
    <row r="123" spans="1:8" x14ac:dyDescent="0.3">
      <c r="A123" s="3" t="s">
        <v>141</v>
      </c>
      <c r="B123">
        <v>3</v>
      </c>
      <c r="C123">
        <v>2</v>
      </c>
      <c r="D123">
        <v>7</v>
      </c>
      <c r="E123" s="20">
        <v>1.3888888888888888E-2</v>
      </c>
      <c r="F123" s="21">
        <v>7.2916666666666671E-2</v>
      </c>
      <c r="G123" s="23">
        <v>46013</v>
      </c>
      <c r="H123" s="3">
        <v>9</v>
      </c>
    </row>
    <row r="124" spans="1:8" x14ac:dyDescent="0.3">
      <c r="A124" s="3" t="s">
        <v>141</v>
      </c>
      <c r="B124">
        <v>3</v>
      </c>
      <c r="C124">
        <v>1</v>
      </c>
      <c r="D124">
        <v>7</v>
      </c>
      <c r="E124" s="20">
        <v>1.3888888888888888E-2</v>
      </c>
      <c r="F124" s="21">
        <v>7.2916666666666671E-2</v>
      </c>
      <c r="G124" s="23">
        <v>46013</v>
      </c>
      <c r="H124" s="3">
        <v>9</v>
      </c>
    </row>
    <row r="125" spans="1:8" x14ac:dyDescent="0.3">
      <c r="A125" s="3" t="s">
        <v>141</v>
      </c>
      <c r="B125">
        <v>3</v>
      </c>
      <c r="C125">
        <v>1</v>
      </c>
      <c r="D125">
        <v>7</v>
      </c>
      <c r="E125" s="20">
        <v>1.3888888888888888E-2</v>
      </c>
      <c r="F125" s="21">
        <v>7.2916666666666671E-2</v>
      </c>
      <c r="G125" s="23">
        <v>46013</v>
      </c>
      <c r="H125" s="3">
        <v>9</v>
      </c>
    </row>
    <row r="126" spans="1:8" x14ac:dyDescent="0.3">
      <c r="A126" s="3" t="s">
        <v>141</v>
      </c>
      <c r="B126">
        <v>7</v>
      </c>
      <c r="C126">
        <v>2</v>
      </c>
      <c r="D126">
        <v>7</v>
      </c>
      <c r="E126" s="20">
        <v>1.3888888888888888E-2</v>
      </c>
      <c r="F126" s="21">
        <v>7.2916666666666671E-2</v>
      </c>
      <c r="G126" s="23">
        <v>46013</v>
      </c>
      <c r="H126" s="3">
        <v>9</v>
      </c>
    </row>
    <row r="127" spans="1:8" x14ac:dyDescent="0.3">
      <c r="A127" s="3" t="s">
        <v>141</v>
      </c>
      <c r="B127">
        <v>7</v>
      </c>
      <c r="C127">
        <v>1.5</v>
      </c>
      <c r="D127">
        <v>5</v>
      </c>
      <c r="E127" s="20">
        <v>1.3888888888888888E-2</v>
      </c>
      <c r="F127" s="21">
        <v>7.2916666666666671E-2</v>
      </c>
      <c r="G127" s="23">
        <v>46013</v>
      </c>
      <c r="H127" s="3">
        <v>9</v>
      </c>
    </row>
    <row r="128" spans="1:8" x14ac:dyDescent="0.3">
      <c r="A128" s="3" t="s">
        <v>141</v>
      </c>
      <c r="B128">
        <v>3</v>
      </c>
      <c r="C128">
        <v>2</v>
      </c>
      <c r="D128">
        <v>8</v>
      </c>
      <c r="E128" s="20">
        <v>1.3888888888888888E-2</v>
      </c>
      <c r="F128" s="21">
        <v>7.2916666666666671E-2</v>
      </c>
      <c r="G128" s="23">
        <v>46013</v>
      </c>
      <c r="H128" s="3">
        <v>9</v>
      </c>
    </row>
    <row r="129" spans="1:8" x14ac:dyDescent="0.3">
      <c r="A129" s="3" t="s">
        <v>141</v>
      </c>
      <c r="B129">
        <v>10</v>
      </c>
      <c r="C129">
        <v>2</v>
      </c>
      <c r="D129">
        <v>4</v>
      </c>
      <c r="E129" s="20">
        <v>1.3888888888888888E-2</v>
      </c>
      <c r="F129" s="21">
        <v>7.2916666666666671E-2</v>
      </c>
      <c r="G129" s="23">
        <v>46013</v>
      </c>
      <c r="H129" s="3">
        <v>9</v>
      </c>
    </row>
    <row r="130" spans="1:8" x14ac:dyDescent="0.3">
      <c r="A130" s="3" t="s">
        <v>141</v>
      </c>
      <c r="B130">
        <v>3</v>
      </c>
      <c r="C130">
        <v>225</v>
      </c>
      <c r="D130">
        <v>1</v>
      </c>
      <c r="E130" s="20">
        <v>1.3888888888888888E-2</v>
      </c>
      <c r="F130" s="21">
        <v>7.2916666666666671E-2</v>
      </c>
      <c r="G130" s="23">
        <v>46013</v>
      </c>
      <c r="H130" s="3">
        <v>9</v>
      </c>
    </row>
    <row r="131" spans="1:8" x14ac:dyDescent="0.3">
      <c r="A131" s="3" t="s">
        <v>141</v>
      </c>
      <c r="B131">
        <v>11</v>
      </c>
      <c r="C131">
        <v>110</v>
      </c>
      <c r="D131">
        <v>1</v>
      </c>
      <c r="E131" s="20">
        <v>1.3888888888888888E-2</v>
      </c>
      <c r="F131" s="21">
        <v>7.2916666666666671E-2</v>
      </c>
      <c r="G131" s="23">
        <v>46013</v>
      </c>
      <c r="H131" s="3">
        <v>9</v>
      </c>
    </row>
    <row r="132" spans="1:8" x14ac:dyDescent="0.3">
      <c r="A132" s="3" t="s">
        <v>141</v>
      </c>
      <c r="B132">
        <v>6</v>
      </c>
      <c r="C132">
        <v>75</v>
      </c>
      <c r="D132">
        <v>3</v>
      </c>
      <c r="E132" s="20">
        <v>1.3888888888888888E-2</v>
      </c>
      <c r="F132" s="21">
        <v>7.2916666666666671E-2</v>
      </c>
      <c r="G132" s="23">
        <v>46013</v>
      </c>
      <c r="H132" s="3">
        <v>9</v>
      </c>
    </row>
    <row r="133" spans="1:8" x14ac:dyDescent="0.3">
      <c r="A133" s="3" t="s">
        <v>141</v>
      </c>
      <c r="B133">
        <v>13</v>
      </c>
      <c r="C133">
        <v>75</v>
      </c>
      <c r="D133">
        <v>3</v>
      </c>
      <c r="E133" s="20">
        <v>1.3888888888888888E-2</v>
      </c>
      <c r="F133" s="21">
        <v>7.2916666666666671E-2</v>
      </c>
      <c r="G133" s="23">
        <v>46013</v>
      </c>
      <c r="H133" s="3">
        <v>9</v>
      </c>
    </row>
    <row r="134" spans="1:8" x14ac:dyDescent="0.3">
      <c r="A134" s="3" t="s">
        <v>141</v>
      </c>
      <c r="B134">
        <v>4</v>
      </c>
      <c r="C134">
        <v>10</v>
      </c>
      <c r="D134">
        <v>3</v>
      </c>
      <c r="E134" s="20">
        <v>1.3888888888888888E-2</v>
      </c>
      <c r="F134" s="21">
        <v>7.2916666666666671E-2</v>
      </c>
      <c r="G134" s="23">
        <v>46013</v>
      </c>
      <c r="H134" s="3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0B34-589D-43CF-B09F-B31CEE2974F4}">
  <dimension ref="A2:V200"/>
  <sheetViews>
    <sheetView topLeftCell="A71" workbookViewId="0">
      <selection activeCell="J118" sqref="J118:L200"/>
    </sheetView>
  </sheetViews>
  <sheetFormatPr defaultRowHeight="14.4" x14ac:dyDescent="0.3"/>
  <cols>
    <col min="1" max="1" width="13.21875" bestFit="1" customWidth="1"/>
    <col min="2" max="2" width="23.33203125" bestFit="1" customWidth="1"/>
    <col min="3" max="3" width="9.21875" bestFit="1" customWidth="1"/>
  </cols>
  <sheetData>
    <row r="2" spans="1:3" x14ac:dyDescent="0.3">
      <c r="A2" s="12" t="s">
        <v>157</v>
      </c>
      <c r="B2" s="3" t="s">
        <v>158</v>
      </c>
      <c r="C2" s="13" t="s">
        <v>159</v>
      </c>
    </row>
    <row r="3" spans="1:3" x14ac:dyDescent="0.3">
      <c r="A3" s="14"/>
      <c r="B3" t="s">
        <v>160</v>
      </c>
      <c r="C3" s="15" t="s">
        <v>161</v>
      </c>
    </row>
    <row r="4" spans="1:3" x14ac:dyDescent="0.3">
      <c r="A4" s="14"/>
      <c r="B4" t="s">
        <v>162</v>
      </c>
      <c r="C4" s="15" t="s">
        <v>163</v>
      </c>
    </row>
    <row r="5" spans="1:3" x14ac:dyDescent="0.3">
      <c r="A5" s="14"/>
      <c r="B5" t="s">
        <v>164</v>
      </c>
      <c r="C5" s="15" t="s">
        <v>165</v>
      </c>
    </row>
    <row r="6" spans="1:3" x14ac:dyDescent="0.3">
      <c r="A6" s="14"/>
      <c r="B6" t="s">
        <v>166</v>
      </c>
      <c r="C6" s="15" t="s">
        <v>167</v>
      </c>
    </row>
    <row r="7" spans="1:3" x14ac:dyDescent="0.3">
      <c r="A7" s="14"/>
      <c r="B7" t="s">
        <v>168</v>
      </c>
      <c r="C7" s="15" t="s">
        <v>169</v>
      </c>
    </row>
    <row r="8" spans="1:3" x14ac:dyDescent="0.3">
      <c r="A8" s="14"/>
      <c r="B8" t="s">
        <v>170</v>
      </c>
      <c r="C8" s="15" t="s">
        <v>171</v>
      </c>
    </row>
    <row r="9" spans="1:3" x14ac:dyDescent="0.3">
      <c r="A9" s="16"/>
      <c r="B9" s="17" t="s">
        <v>172</v>
      </c>
      <c r="C9" s="18" t="s">
        <v>173</v>
      </c>
    </row>
    <row r="16" spans="1:3" x14ac:dyDescent="0.3">
      <c r="A16" s="12" t="s">
        <v>156</v>
      </c>
      <c r="B16" s="13" t="s">
        <v>6</v>
      </c>
    </row>
    <row r="17" spans="1:22" x14ac:dyDescent="0.3">
      <c r="A17" s="14">
        <v>1</v>
      </c>
      <c r="B17" s="15" t="s">
        <v>15</v>
      </c>
    </row>
    <row r="18" spans="1:22" x14ac:dyDescent="0.3">
      <c r="A18" s="14">
        <v>2</v>
      </c>
      <c r="B18" s="15" t="s">
        <v>15</v>
      </c>
    </row>
    <row r="19" spans="1:22" x14ac:dyDescent="0.3">
      <c r="A19" s="14">
        <v>3</v>
      </c>
      <c r="B19" s="15" t="s">
        <v>56</v>
      </c>
    </row>
    <row r="20" spans="1:22" x14ac:dyDescent="0.3">
      <c r="A20" s="14">
        <v>4</v>
      </c>
      <c r="B20" s="15" t="s">
        <v>56</v>
      </c>
    </row>
    <row r="21" spans="1:22" x14ac:dyDescent="0.3">
      <c r="A21" s="14">
        <v>5</v>
      </c>
      <c r="B21" s="15" t="s">
        <v>79</v>
      </c>
    </row>
    <row r="22" spans="1:22" x14ac:dyDescent="0.3">
      <c r="A22" s="14">
        <v>6</v>
      </c>
      <c r="B22" s="15" t="s">
        <v>94</v>
      </c>
    </row>
    <row r="23" spans="1:22" x14ac:dyDescent="0.3">
      <c r="A23" s="14">
        <v>7</v>
      </c>
      <c r="B23" s="15" t="s">
        <v>106</v>
      </c>
    </row>
    <row r="24" spans="1:22" x14ac:dyDescent="0.3">
      <c r="A24" s="14">
        <v>8</v>
      </c>
      <c r="B24" s="15" t="s">
        <v>117</v>
      </c>
    </row>
    <row r="25" spans="1:22" x14ac:dyDescent="0.3">
      <c r="A25" s="14">
        <v>9</v>
      </c>
      <c r="B25" s="15" t="s">
        <v>130</v>
      </c>
    </row>
    <row r="26" spans="1:22" x14ac:dyDescent="0.3">
      <c r="A26" s="14">
        <v>10</v>
      </c>
      <c r="B26" s="15" t="s">
        <v>139</v>
      </c>
    </row>
    <row r="27" spans="1:22" x14ac:dyDescent="0.3">
      <c r="A27" s="16">
        <v>11</v>
      </c>
      <c r="B27" s="18" t="s">
        <v>154</v>
      </c>
    </row>
    <row r="31" spans="1:22" x14ac:dyDescent="0.3">
      <c r="A31" t="s">
        <v>174</v>
      </c>
      <c r="B31" t="s">
        <v>175</v>
      </c>
      <c r="C31" t="s">
        <v>176</v>
      </c>
      <c r="G31" t="s">
        <v>309</v>
      </c>
    </row>
    <row r="32" spans="1:22" x14ac:dyDescent="0.3">
      <c r="B32" t="s">
        <v>11</v>
      </c>
      <c r="C32" t="str" cm="1">
        <f t="array" ref="C32:C114">_xlfn.XLOOKUP($B$32:$B$114,$K$32:$K$116,$J$32:$J$116)</f>
        <v>Vegetables</v>
      </c>
      <c r="D32" t="str">
        <f t="shared" ref="D32:D63" si="0">VLOOKUP(B32,$K$32:$L$116,2,FALSE)</f>
        <v>Vegetables</v>
      </c>
      <c r="E32">
        <f t="shared" ref="E32:E63" si="1">VLOOKUP(C32,$N$32:$O$44,2,FALSE)</f>
        <v>3</v>
      </c>
      <c r="F32" t="s">
        <v>289</v>
      </c>
      <c r="J32" t="s">
        <v>178</v>
      </c>
      <c r="K32" t="s">
        <v>28</v>
      </c>
      <c r="L32" t="str">
        <f>J32</f>
        <v>Meat</v>
      </c>
      <c r="N32" t="s">
        <v>178</v>
      </c>
      <c r="O32">
        <v>1</v>
      </c>
      <c r="R32" t="s">
        <v>193</v>
      </c>
      <c r="S32">
        <v>3</v>
      </c>
      <c r="U32" t="s">
        <v>20</v>
      </c>
      <c r="V32">
        <v>1</v>
      </c>
    </row>
    <row r="33" spans="2:22" x14ac:dyDescent="0.3">
      <c r="B33" t="s">
        <v>16</v>
      </c>
      <c r="C33" t="str">
        <v>Vegetables</v>
      </c>
      <c r="D33" t="str">
        <f t="shared" si="0"/>
        <v>Vegetables</v>
      </c>
      <c r="E33">
        <f t="shared" si="1"/>
        <v>3</v>
      </c>
      <c r="F33" t="s">
        <v>290</v>
      </c>
      <c r="J33" t="s">
        <v>178</v>
      </c>
      <c r="K33" t="s">
        <v>121</v>
      </c>
      <c r="L33" t="str">
        <f t="shared" ref="L33:L85" si="2">J33</f>
        <v>Meat</v>
      </c>
      <c r="N33" t="s">
        <v>179</v>
      </c>
      <c r="O33">
        <v>2</v>
      </c>
      <c r="R33" t="s">
        <v>194</v>
      </c>
      <c r="S33">
        <v>3</v>
      </c>
      <c r="U33" t="s">
        <v>63</v>
      </c>
      <c r="V33">
        <v>2</v>
      </c>
    </row>
    <row r="34" spans="2:22" x14ac:dyDescent="0.3">
      <c r="B34" t="s">
        <v>40</v>
      </c>
      <c r="C34" t="str">
        <v>Herbs</v>
      </c>
      <c r="D34" t="str">
        <f t="shared" si="0"/>
        <v>Herbs</v>
      </c>
      <c r="E34">
        <f t="shared" si="1"/>
        <v>7</v>
      </c>
      <c r="F34" t="s">
        <v>291</v>
      </c>
      <c r="J34" t="s">
        <v>179</v>
      </c>
      <c r="K34" t="s">
        <v>33</v>
      </c>
      <c r="L34" t="str">
        <f t="shared" si="2"/>
        <v>Seafood</v>
      </c>
      <c r="N34" t="s">
        <v>180</v>
      </c>
      <c r="O34">
        <v>3</v>
      </c>
      <c r="R34" t="s">
        <v>195</v>
      </c>
      <c r="S34">
        <v>7</v>
      </c>
      <c r="U34" t="s">
        <v>25</v>
      </c>
      <c r="V34">
        <v>3</v>
      </c>
    </row>
    <row r="35" spans="2:22" x14ac:dyDescent="0.3">
      <c r="B35" t="s">
        <v>18</v>
      </c>
      <c r="C35" t="str">
        <v>Spices</v>
      </c>
      <c r="D35" t="str">
        <f t="shared" si="0"/>
        <v>Spices</v>
      </c>
      <c r="E35">
        <f t="shared" si="1"/>
        <v>8</v>
      </c>
      <c r="F35" t="s">
        <v>292</v>
      </c>
      <c r="J35" t="s">
        <v>179</v>
      </c>
      <c r="K35" t="s">
        <v>66</v>
      </c>
      <c r="L35" t="str">
        <f t="shared" si="2"/>
        <v>Seafood</v>
      </c>
      <c r="N35" t="s">
        <v>181</v>
      </c>
      <c r="O35">
        <v>4</v>
      </c>
      <c r="R35" t="s">
        <v>196</v>
      </c>
      <c r="S35">
        <v>8</v>
      </c>
      <c r="U35" t="s">
        <v>148</v>
      </c>
      <c r="V35">
        <v>4</v>
      </c>
    </row>
    <row r="36" spans="2:22" x14ac:dyDescent="0.3">
      <c r="B36" t="s">
        <v>19</v>
      </c>
      <c r="C36" t="str">
        <v>Condiments</v>
      </c>
      <c r="D36" t="str">
        <f t="shared" si="0"/>
        <v>Condiments</v>
      </c>
      <c r="E36">
        <f t="shared" si="1"/>
        <v>10</v>
      </c>
      <c r="F36" t="s">
        <v>293</v>
      </c>
      <c r="J36" t="s">
        <v>180</v>
      </c>
      <c r="K36" t="s">
        <v>11</v>
      </c>
      <c r="L36" t="str">
        <f t="shared" si="2"/>
        <v>Vegetables</v>
      </c>
      <c r="N36" t="s">
        <v>182</v>
      </c>
      <c r="O36">
        <v>5</v>
      </c>
      <c r="R36" t="s">
        <v>197</v>
      </c>
      <c r="S36">
        <v>10</v>
      </c>
      <c r="U36" t="s">
        <v>36</v>
      </c>
      <c r="V36">
        <v>5</v>
      </c>
    </row>
    <row r="37" spans="2:22" x14ac:dyDescent="0.3">
      <c r="B37" t="s">
        <v>22</v>
      </c>
      <c r="C37" t="str">
        <v>Condiments</v>
      </c>
      <c r="D37" t="str">
        <f t="shared" si="0"/>
        <v>Condiments</v>
      </c>
      <c r="E37">
        <f t="shared" si="1"/>
        <v>10</v>
      </c>
      <c r="F37" t="s">
        <v>293</v>
      </c>
      <c r="J37" t="s">
        <v>180</v>
      </c>
      <c r="K37" t="s">
        <v>16</v>
      </c>
      <c r="L37" t="str">
        <f t="shared" si="2"/>
        <v>Vegetables</v>
      </c>
      <c r="N37" t="s">
        <v>183</v>
      </c>
      <c r="O37">
        <v>6</v>
      </c>
      <c r="R37" t="s">
        <v>198</v>
      </c>
      <c r="S37">
        <v>10</v>
      </c>
      <c r="U37" t="s">
        <v>21</v>
      </c>
      <c r="V37">
        <v>6</v>
      </c>
    </row>
    <row r="38" spans="2:22" x14ac:dyDescent="0.3">
      <c r="B38" t="s">
        <v>23</v>
      </c>
      <c r="C38" t="str">
        <v>Condiments</v>
      </c>
      <c r="D38" t="str">
        <f t="shared" si="0"/>
        <v>Condiments</v>
      </c>
      <c r="E38">
        <f t="shared" si="1"/>
        <v>10</v>
      </c>
      <c r="F38" t="s">
        <v>293</v>
      </c>
      <c r="J38" t="s">
        <v>180</v>
      </c>
      <c r="K38" t="s">
        <v>58</v>
      </c>
      <c r="L38" t="str">
        <f t="shared" si="2"/>
        <v>Vegetables</v>
      </c>
      <c r="N38" t="s">
        <v>184</v>
      </c>
      <c r="O38">
        <v>7</v>
      </c>
      <c r="R38" t="s">
        <v>199</v>
      </c>
      <c r="S38">
        <v>10</v>
      </c>
      <c r="U38" t="s">
        <v>299</v>
      </c>
      <c r="V38">
        <v>7</v>
      </c>
    </row>
    <row r="39" spans="2:22" x14ac:dyDescent="0.3">
      <c r="B39" t="s">
        <v>24</v>
      </c>
      <c r="C39" t="str">
        <v>Oils &amp; Fats</v>
      </c>
      <c r="D39" t="str">
        <f t="shared" si="0"/>
        <v>Oils &amp; Fats</v>
      </c>
      <c r="E39">
        <f t="shared" si="1"/>
        <v>9</v>
      </c>
      <c r="F39" t="s">
        <v>293</v>
      </c>
      <c r="J39" t="s">
        <v>180</v>
      </c>
      <c r="K39" t="s">
        <v>26</v>
      </c>
      <c r="L39" t="str">
        <f t="shared" si="2"/>
        <v>Vegetables</v>
      </c>
      <c r="N39" t="s">
        <v>185</v>
      </c>
      <c r="O39">
        <v>8</v>
      </c>
      <c r="R39" t="s">
        <v>200</v>
      </c>
      <c r="S39">
        <v>9</v>
      </c>
      <c r="U39" t="s">
        <v>301</v>
      </c>
      <c r="V39">
        <v>8</v>
      </c>
    </row>
    <row r="40" spans="2:22" x14ac:dyDescent="0.3">
      <c r="B40" t="s">
        <v>26</v>
      </c>
      <c r="C40" t="str">
        <v>Vegetables</v>
      </c>
      <c r="D40" t="str">
        <f t="shared" si="0"/>
        <v>Vegetables</v>
      </c>
      <c r="E40">
        <f t="shared" si="1"/>
        <v>3</v>
      </c>
      <c r="F40" t="s">
        <v>289</v>
      </c>
      <c r="J40" t="s">
        <v>180</v>
      </c>
      <c r="K40" t="s">
        <v>37</v>
      </c>
      <c r="L40" t="str">
        <f t="shared" si="2"/>
        <v>Vegetables</v>
      </c>
      <c r="N40" t="s">
        <v>186</v>
      </c>
      <c r="O40">
        <v>9</v>
      </c>
      <c r="R40" t="s">
        <v>201</v>
      </c>
      <c r="S40">
        <v>3</v>
      </c>
      <c r="U40" t="s">
        <v>302</v>
      </c>
      <c r="V40">
        <v>9</v>
      </c>
    </row>
    <row r="41" spans="2:22" x14ac:dyDescent="0.3">
      <c r="B41" t="s">
        <v>65</v>
      </c>
      <c r="C41" t="str">
        <v>Condiments</v>
      </c>
      <c r="D41" t="str">
        <f t="shared" si="0"/>
        <v>Condiments</v>
      </c>
      <c r="E41">
        <f t="shared" si="1"/>
        <v>10</v>
      </c>
      <c r="F41" t="s">
        <v>294</v>
      </c>
      <c r="J41" t="s">
        <v>180</v>
      </c>
      <c r="K41" t="s">
        <v>74</v>
      </c>
      <c r="L41" t="str">
        <f t="shared" si="2"/>
        <v>Vegetables</v>
      </c>
      <c r="N41" t="s">
        <v>187</v>
      </c>
      <c r="O41">
        <v>10</v>
      </c>
      <c r="R41" t="s">
        <v>202</v>
      </c>
      <c r="S41">
        <v>10</v>
      </c>
      <c r="U41" t="s">
        <v>300</v>
      </c>
      <c r="V41">
        <v>10</v>
      </c>
    </row>
    <row r="42" spans="2:22" x14ac:dyDescent="0.3">
      <c r="B42" t="s">
        <v>28</v>
      </c>
      <c r="C42" t="str">
        <v>Meat</v>
      </c>
      <c r="D42" t="str">
        <f t="shared" si="0"/>
        <v>Meat</v>
      </c>
      <c r="E42">
        <f t="shared" si="1"/>
        <v>1</v>
      </c>
      <c r="F42" t="s">
        <v>289</v>
      </c>
      <c r="J42" t="s">
        <v>180</v>
      </c>
      <c r="K42" t="s">
        <v>72</v>
      </c>
      <c r="L42" t="str">
        <f t="shared" si="2"/>
        <v>Vegetables</v>
      </c>
      <c r="N42" t="s">
        <v>191</v>
      </c>
      <c r="O42">
        <v>11</v>
      </c>
      <c r="R42" t="s">
        <v>203</v>
      </c>
      <c r="S42">
        <v>1</v>
      </c>
      <c r="U42" t="s">
        <v>303</v>
      </c>
      <c r="V42">
        <v>11</v>
      </c>
    </row>
    <row r="43" spans="2:22" x14ac:dyDescent="0.3">
      <c r="B43" t="s">
        <v>29</v>
      </c>
      <c r="C43" t="str">
        <v>Fruits</v>
      </c>
      <c r="D43" t="str">
        <f t="shared" si="0"/>
        <v>Fruits</v>
      </c>
      <c r="E43">
        <f t="shared" si="1"/>
        <v>4</v>
      </c>
      <c r="F43" t="s">
        <v>289</v>
      </c>
      <c r="J43" t="s">
        <v>180</v>
      </c>
      <c r="K43" t="s">
        <v>73</v>
      </c>
      <c r="L43" t="str">
        <f t="shared" si="2"/>
        <v>Vegetables</v>
      </c>
      <c r="N43" t="s">
        <v>190</v>
      </c>
      <c r="O43">
        <v>12</v>
      </c>
      <c r="R43" t="s">
        <v>204</v>
      </c>
      <c r="S43">
        <v>4</v>
      </c>
    </row>
    <row r="44" spans="2:22" x14ac:dyDescent="0.3">
      <c r="B44" t="s">
        <v>30</v>
      </c>
      <c r="C44" t="str">
        <v>Seasoning</v>
      </c>
      <c r="D44" t="str">
        <f t="shared" si="0"/>
        <v>Seasoning</v>
      </c>
      <c r="E44">
        <f t="shared" si="1"/>
        <v>12</v>
      </c>
      <c r="F44" t="s">
        <v>292</v>
      </c>
      <c r="J44" t="s">
        <v>180</v>
      </c>
      <c r="K44" t="s">
        <v>112</v>
      </c>
      <c r="L44" t="str">
        <f t="shared" si="2"/>
        <v>Vegetables</v>
      </c>
      <c r="N44" t="s">
        <v>192</v>
      </c>
      <c r="O44">
        <v>13</v>
      </c>
      <c r="R44" t="s">
        <v>205</v>
      </c>
      <c r="S44">
        <v>12</v>
      </c>
    </row>
    <row r="45" spans="2:22" x14ac:dyDescent="0.3">
      <c r="B45" t="s">
        <v>31</v>
      </c>
      <c r="C45" t="str">
        <v>Spices</v>
      </c>
      <c r="D45" t="str">
        <f t="shared" si="0"/>
        <v>Spices</v>
      </c>
      <c r="E45">
        <f t="shared" si="1"/>
        <v>8</v>
      </c>
      <c r="F45" t="s">
        <v>292</v>
      </c>
      <c r="J45" t="s">
        <v>180</v>
      </c>
      <c r="K45" t="s">
        <v>113</v>
      </c>
      <c r="L45" t="str">
        <f t="shared" si="2"/>
        <v>Vegetables</v>
      </c>
      <c r="R45" t="s">
        <v>206</v>
      </c>
      <c r="S45">
        <v>8</v>
      </c>
    </row>
    <row r="46" spans="2:22" x14ac:dyDescent="0.3">
      <c r="B46" t="s">
        <v>33</v>
      </c>
      <c r="C46" t="str">
        <v>Seafood</v>
      </c>
      <c r="D46" t="str">
        <f t="shared" si="0"/>
        <v>Seafood</v>
      </c>
      <c r="E46">
        <f t="shared" si="1"/>
        <v>2</v>
      </c>
      <c r="F46" t="s">
        <v>289</v>
      </c>
      <c r="J46" t="s">
        <v>180</v>
      </c>
      <c r="K46" t="s">
        <v>133</v>
      </c>
      <c r="L46" t="str">
        <f t="shared" si="2"/>
        <v>Vegetables</v>
      </c>
      <c r="R46" t="s">
        <v>207</v>
      </c>
      <c r="S46">
        <v>2</v>
      </c>
    </row>
    <row r="47" spans="2:22" x14ac:dyDescent="0.3">
      <c r="B47" t="s">
        <v>34</v>
      </c>
      <c r="C47" t="e">
        <v>#N/A</v>
      </c>
      <c r="D47" t="e">
        <f t="shared" si="0"/>
        <v>#N/A</v>
      </c>
      <c r="E47" t="e">
        <f t="shared" si="1"/>
        <v>#N/A</v>
      </c>
      <c r="F47" t="s">
        <v>292</v>
      </c>
      <c r="J47" t="s">
        <v>180</v>
      </c>
      <c r="K47" t="s">
        <v>143</v>
      </c>
      <c r="L47" t="str">
        <f t="shared" si="2"/>
        <v>Vegetables</v>
      </c>
      <c r="R47" t="s">
        <v>208</v>
      </c>
      <c r="S47">
        <v>8</v>
      </c>
    </row>
    <row r="48" spans="2:22" x14ac:dyDescent="0.3">
      <c r="B48" t="s">
        <v>35</v>
      </c>
      <c r="C48" t="str">
        <v>Spices</v>
      </c>
      <c r="D48" t="str">
        <f t="shared" si="0"/>
        <v>Spices</v>
      </c>
      <c r="E48">
        <f t="shared" si="1"/>
        <v>8</v>
      </c>
      <c r="F48" t="s">
        <v>292</v>
      </c>
      <c r="J48" t="s">
        <v>180</v>
      </c>
      <c r="K48" t="s">
        <v>149</v>
      </c>
      <c r="L48" t="str">
        <f t="shared" si="2"/>
        <v>Vegetables</v>
      </c>
      <c r="R48" t="s">
        <v>209</v>
      </c>
      <c r="S48">
        <v>8</v>
      </c>
    </row>
    <row r="49" spans="2:19" x14ac:dyDescent="0.3">
      <c r="B49" t="s">
        <v>37</v>
      </c>
      <c r="C49" t="str">
        <v>Vegetables</v>
      </c>
      <c r="D49" t="str">
        <f t="shared" si="0"/>
        <v>Vegetables</v>
      </c>
      <c r="E49">
        <f t="shared" si="1"/>
        <v>3</v>
      </c>
      <c r="F49" t="s">
        <v>295</v>
      </c>
      <c r="J49" t="s">
        <v>180</v>
      </c>
      <c r="K49" t="s">
        <v>188</v>
      </c>
      <c r="L49" t="str">
        <f t="shared" si="2"/>
        <v>Vegetables</v>
      </c>
      <c r="R49" t="s">
        <v>210</v>
      </c>
      <c r="S49">
        <v>3</v>
      </c>
    </row>
    <row r="50" spans="2:19" x14ac:dyDescent="0.3">
      <c r="B50" t="s">
        <v>38</v>
      </c>
      <c r="C50" t="str">
        <v>Condiments</v>
      </c>
      <c r="D50" t="str">
        <f t="shared" si="0"/>
        <v>Condiments</v>
      </c>
      <c r="E50">
        <f t="shared" si="1"/>
        <v>10</v>
      </c>
      <c r="F50" t="s">
        <v>293</v>
      </c>
      <c r="J50" t="s">
        <v>180</v>
      </c>
      <c r="K50" t="s">
        <v>145</v>
      </c>
      <c r="L50" t="str">
        <f t="shared" si="2"/>
        <v>Vegetables</v>
      </c>
      <c r="R50" t="s">
        <v>211</v>
      </c>
      <c r="S50">
        <v>10</v>
      </c>
    </row>
    <row r="51" spans="2:19" x14ac:dyDescent="0.3">
      <c r="B51" t="s">
        <v>39</v>
      </c>
      <c r="C51" t="str">
        <v>Fruits</v>
      </c>
      <c r="D51" t="str">
        <f t="shared" si="0"/>
        <v>Fruits</v>
      </c>
      <c r="E51">
        <f t="shared" si="1"/>
        <v>4</v>
      </c>
      <c r="F51" t="s">
        <v>293</v>
      </c>
      <c r="J51" t="s">
        <v>180</v>
      </c>
      <c r="K51" t="s">
        <v>142</v>
      </c>
      <c r="L51" t="str">
        <f t="shared" si="2"/>
        <v>Vegetables</v>
      </c>
      <c r="R51" t="s">
        <v>212</v>
      </c>
      <c r="S51">
        <v>4</v>
      </c>
    </row>
    <row r="52" spans="2:19" x14ac:dyDescent="0.3">
      <c r="B52" t="s">
        <v>45</v>
      </c>
      <c r="C52" t="str">
        <v>Grains</v>
      </c>
      <c r="D52" t="str">
        <f t="shared" si="0"/>
        <v>Grains</v>
      </c>
      <c r="E52">
        <f t="shared" si="1"/>
        <v>5</v>
      </c>
      <c r="F52" t="s">
        <v>295</v>
      </c>
      <c r="J52" t="s">
        <v>181</v>
      </c>
      <c r="K52" t="s">
        <v>29</v>
      </c>
      <c r="L52" t="str">
        <f t="shared" si="2"/>
        <v>Fruits</v>
      </c>
      <c r="R52" t="s">
        <v>195</v>
      </c>
      <c r="S52">
        <v>7</v>
      </c>
    </row>
    <row r="53" spans="2:19" x14ac:dyDescent="0.3">
      <c r="B53" t="s">
        <v>46</v>
      </c>
      <c r="C53" t="str">
        <v>Dairy</v>
      </c>
      <c r="D53" t="str">
        <f t="shared" si="0"/>
        <v>Dairy</v>
      </c>
      <c r="E53">
        <f t="shared" si="1"/>
        <v>6</v>
      </c>
      <c r="F53" t="s">
        <v>295</v>
      </c>
      <c r="J53" t="s">
        <v>181</v>
      </c>
      <c r="K53" t="s">
        <v>84</v>
      </c>
      <c r="L53" t="str">
        <f t="shared" si="2"/>
        <v>Fruits</v>
      </c>
      <c r="R53" t="s">
        <v>213</v>
      </c>
      <c r="S53">
        <v>5</v>
      </c>
    </row>
    <row r="54" spans="2:19" x14ac:dyDescent="0.3">
      <c r="B54" t="s">
        <v>47</v>
      </c>
      <c r="C54" t="str">
        <v>Others</v>
      </c>
      <c r="D54" t="str">
        <f t="shared" si="0"/>
        <v>Others</v>
      </c>
      <c r="E54">
        <f t="shared" si="1"/>
        <v>13</v>
      </c>
      <c r="F54" t="s">
        <v>296</v>
      </c>
      <c r="J54" t="s">
        <v>181</v>
      </c>
      <c r="K54" t="s">
        <v>39</v>
      </c>
      <c r="L54" t="str">
        <f t="shared" si="2"/>
        <v>Fruits</v>
      </c>
      <c r="R54" t="s">
        <v>214</v>
      </c>
      <c r="S54">
        <v>6</v>
      </c>
    </row>
    <row r="55" spans="2:19" x14ac:dyDescent="0.3">
      <c r="B55" t="s">
        <v>48</v>
      </c>
      <c r="C55" t="str">
        <v>Herbs</v>
      </c>
      <c r="D55" t="str">
        <f t="shared" si="0"/>
        <v>Herbs</v>
      </c>
      <c r="E55">
        <f t="shared" si="1"/>
        <v>7</v>
      </c>
      <c r="F55" t="s">
        <v>291</v>
      </c>
      <c r="J55" t="s">
        <v>181</v>
      </c>
      <c r="K55" t="s">
        <v>114</v>
      </c>
      <c r="L55" t="str">
        <f t="shared" si="2"/>
        <v>Fruits</v>
      </c>
      <c r="R55" t="s">
        <v>215</v>
      </c>
      <c r="S55">
        <v>13</v>
      </c>
    </row>
    <row r="56" spans="2:19" x14ac:dyDescent="0.3">
      <c r="B56" t="s">
        <v>49</v>
      </c>
      <c r="C56" t="str">
        <v>Dairy</v>
      </c>
      <c r="D56" t="str">
        <f t="shared" si="0"/>
        <v>Dairy</v>
      </c>
      <c r="E56">
        <f t="shared" si="1"/>
        <v>6</v>
      </c>
      <c r="F56" t="s">
        <v>295</v>
      </c>
      <c r="J56" t="s">
        <v>181</v>
      </c>
      <c r="K56" t="s">
        <v>51</v>
      </c>
      <c r="L56" t="str">
        <f t="shared" si="2"/>
        <v>Fruits</v>
      </c>
      <c r="R56" t="s">
        <v>216</v>
      </c>
      <c r="S56">
        <v>7</v>
      </c>
    </row>
    <row r="57" spans="2:19" x14ac:dyDescent="0.3">
      <c r="B57" t="s">
        <v>50</v>
      </c>
      <c r="C57" t="str">
        <v>Others</v>
      </c>
      <c r="D57" t="str">
        <f t="shared" si="0"/>
        <v>Others</v>
      </c>
      <c r="E57">
        <f t="shared" si="1"/>
        <v>13</v>
      </c>
      <c r="F57" t="s">
        <v>289</v>
      </c>
      <c r="J57" t="s">
        <v>181</v>
      </c>
      <c r="K57" t="s">
        <v>102</v>
      </c>
      <c r="L57" t="str">
        <f t="shared" si="2"/>
        <v>Fruits</v>
      </c>
      <c r="R57" t="s">
        <v>217</v>
      </c>
      <c r="S57">
        <v>6</v>
      </c>
    </row>
    <row r="58" spans="2:19" x14ac:dyDescent="0.3">
      <c r="B58" t="s">
        <v>51</v>
      </c>
      <c r="C58" t="str">
        <v>Fruits</v>
      </c>
      <c r="D58" t="str">
        <f t="shared" si="0"/>
        <v>Fruits</v>
      </c>
      <c r="E58">
        <f t="shared" si="1"/>
        <v>4</v>
      </c>
      <c r="F58" t="s">
        <v>295</v>
      </c>
      <c r="J58" t="s">
        <v>182</v>
      </c>
      <c r="K58" t="s">
        <v>45</v>
      </c>
      <c r="L58" t="str">
        <f t="shared" si="2"/>
        <v>Grains</v>
      </c>
      <c r="R58" t="s">
        <v>218</v>
      </c>
      <c r="S58">
        <v>13</v>
      </c>
    </row>
    <row r="59" spans="2:19" x14ac:dyDescent="0.3">
      <c r="B59" t="s">
        <v>52</v>
      </c>
      <c r="C59" t="str">
        <v>Nuts &amp; Seeds</v>
      </c>
      <c r="D59" t="str">
        <f t="shared" si="0"/>
        <v>Nuts &amp; Seeds</v>
      </c>
      <c r="E59">
        <f t="shared" si="1"/>
        <v>11</v>
      </c>
      <c r="F59" t="s">
        <v>295</v>
      </c>
      <c r="J59" t="s">
        <v>182</v>
      </c>
      <c r="K59" t="s">
        <v>85</v>
      </c>
      <c r="L59" t="str">
        <f t="shared" si="2"/>
        <v>Grains</v>
      </c>
      <c r="R59" t="s">
        <v>219</v>
      </c>
      <c r="S59">
        <v>4</v>
      </c>
    </row>
    <row r="60" spans="2:19" x14ac:dyDescent="0.3">
      <c r="B60" t="s">
        <v>53</v>
      </c>
      <c r="C60" t="str">
        <v>Condiments</v>
      </c>
      <c r="D60" t="str">
        <f t="shared" si="0"/>
        <v>Condiments</v>
      </c>
      <c r="E60">
        <f t="shared" si="1"/>
        <v>10</v>
      </c>
      <c r="F60" t="s">
        <v>293</v>
      </c>
      <c r="J60" t="s">
        <v>182</v>
      </c>
      <c r="K60" t="s">
        <v>96</v>
      </c>
      <c r="L60" t="str">
        <f t="shared" si="2"/>
        <v>Grains</v>
      </c>
      <c r="R60" t="s">
        <v>220</v>
      </c>
      <c r="S60">
        <v>11</v>
      </c>
    </row>
    <row r="61" spans="2:19" x14ac:dyDescent="0.3">
      <c r="B61" t="s">
        <v>74</v>
      </c>
      <c r="C61" t="str">
        <v>Vegetables</v>
      </c>
      <c r="D61" t="str">
        <f t="shared" si="0"/>
        <v>Vegetables</v>
      </c>
      <c r="E61">
        <f t="shared" si="1"/>
        <v>3</v>
      </c>
      <c r="F61" t="s">
        <v>289</v>
      </c>
      <c r="J61" t="s">
        <v>182</v>
      </c>
      <c r="K61" t="s">
        <v>97</v>
      </c>
      <c r="L61" t="str">
        <f t="shared" si="2"/>
        <v>Grains</v>
      </c>
      <c r="R61" t="s">
        <v>221</v>
      </c>
      <c r="S61">
        <v>10</v>
      </c>
    </row>
    <row r="62" spans="2:19" x14ac:dyDescent="0.3">
      <c r="B62" t="s">
        <v>58</v>
      </c>
      <c r="C62" t="str">
        <v>Vegetables</v>
      </c>
      <c r="D62" t="str">
        <f t="shared" si="0"/>
        <v>Vegetables</v>
      </c>
      <c r="E62">
        <f t="shared" si="1"/>
        <v>3</v>
      </c>
      <c r="F62" t="s">
        <v>289</v>
      </c>
      <c r="J62" t="s">
        <v>183</v>
      </c>
      <c r="K62" t="s">
        <v>46</v>
      </c>
      <c r="L62" t="str">
        <f t="shared" si="2"/>
        <v>Dairy</v>
      </c>
      <c r="R62" t="s">
        <v>222</v>
      </c>
      <c r="S62">
        <v>3</v>
      </c>
    </row>
    <row r="63" spans="2:19" x14ac:dyDescent="0.3">
      <c r="B63" t="s">
        <v>59</v>
      </c>
      <c r="C63" t="str">
        <v>Herbs</v>
      </c>
      <c r="D63" t="str">
        <f t="shared" si="0"/>
        <v>Herbs</v>
      </c>
      <c r="E63">
        <f t="shared" si="1"/>
        <v>7</v>
      </c>
      <c r="F63" t="s">
        <v>292</v>
      </c>
      <c r="J63" t="s">
        <v>183</v>
      </c>
      <c r="K63" t="s">
        <v>125</v>
      </c>
      <c r="L63" t="str">
        <f t="shared" si="2"/>
        <v>Dairy</v>
      </c>
      <c r="R63" t="s">
        <v>223</v>
      </c>
      <c r="S63">
        <v>3</v>
      </c>
    </row>
    <row r="64" spans="2:19" x14ac:dyDescent="0.3">
      <c r="B64" t="s">
        <v>60</v>
      </c>
      <c r="C64" t="str">
        <v>Spices</v>
      </c>
      <c r="D64" t="str">
        <f t="shared" ref="D64:D95" si="3">VLOOKUP(B64,$K$32:$L$116,2,FALSE)</f>
        <v>Spices</v>
      </c>
      <c r="E64">
        <f t="shared" ref="E64:E95" si="4">VLOOKUP(C64,$N$32:$O$44,2,FALSE)</f>
        <v>8</v>
      </c>
      <c r="F64" t="s">
        <v>289</v>
      </c>
      <c r="J64" t="s">
        <v>183</v>
      </c>
      <c r="K64" t="s">
        <v>49</v>
      </c>
      <c r="L64" t="str">
        <f t="shared" si="2"/>
        <v>Dairy</v>
      </c>
      <c r="R64" t="s">
        <v>224</v>
      </c>
      <c r="S64">
        <v>7</v>
      </c>
    </row>
    <row r="65" spans="2:19" x14ac:dyDescent="0.3">
      <c r="B65" t="s">
        <v>73</v>
      </c>
      <c r="C65" t="str">
        <v>Vegetables</v>
      </c>
      <c r="D65" t="str">
        <f t="shared" si="3"/>
        <v>Vegetables</v>
      </c>
      <c r="E65">
        <f t="shared" si="4"/>
        <v>3</v>
      </c>
      <c r="F65" t="s">
        <v>289</v>
      </c>
      <c r="J65" t="s">
        <v>183</v>
      </c>
      <c r="K65" t="s">
        <v>70</v>
      </c>
      <c r="L65" t="str">
        <f t="shared" si="2"/>
        <v>Dairy</v>
      </c>
      <c r="R65" t="s">
        <v>225</v>
      </c>
      <c r="S65">
        <v>8</v>
      </c>
    </row>
    <row r="66" spans="2:19" x14ac:dyDescent="0.3">
      <c r="B66" t="s">
        <v>64</v>
      </c>
      <c r="C66" t="str">
        <v>Seasoning</v>
      </c>
      <c r="D66" t="str">
        <f t="shared" si="3"/>
        <v>Seasoning</v>
      </c>
      <c r="E66">
        <f t="shared" si="4"/>
        <v>12</v>
      </c>
      <c r="F66" t="s">
        <v>292</v>
      </c>
      <c r="J66" t="s">
        <v>183</v>
      </c>
      <c r="K66" t="s">
        <v>150</v>
      </c>
      <c r="L66" t="str">
        <f t="shared" si="2"/>
        <v>Dairy</v>
      </c>
      <c r="R66" t="s">
        <v>226</v>
      </c>
      <c r="S66">
        <v>3</v>
      </c>
    </row>
    <row r="67" spans="2:19" x14ac:dyDescent="0.3">
      <c r="B67" t="s">
        <v>66</v>
      </c>
      <c r="C67" t="str">
        <v>Seafood</v>
      </c>
      <c r="D67" t="str">
        <f t="shared" si="3"/>
        <v>Seafood</v>
      </c>
      <c r="E67">
        <f t="shared" si="4"/>
        <v>2</v>
      </c>
      <c r="F67" t="s">
        <v>294</v>
      </c>
      <c r="J67" t="s">
        <v>183</v>
      </c>
      <c r="K67" t="s">
        <v>71</v>
      </c>
      <c r="L67" t="str">
        <f t="shared" si="2"/>
        <v>Dairy</v>
      </c>
      <c r="R67" t="s">
        <v>227</v>
      </c>
      <c r="S67">
        <v>12</v>
      </c>
    </row>
    <row r="68" spans="2:19" x14ac:dyDescent="0.3">
      <c r="B68" t="s">
        <v>67</v>
      </c>
      <c r="C68" t="str">
        <v>Herbs</v>
      </c>
      <c r="D68" t="str">
        <f t="shared" si="3"/>
        <v>Herbs</v>
      </c>
      <c r="E68">
        <f t="shared" si="4"/>
        <v>7</v>
      </c>
      <c r="F68" t="s">
        <v>291</v>
      </c>
      <c r="J68" t="s">
        <v>183</v>
      </c>
      <c r="K68" t="s">
        <v>87</v>
      </c>
      <c r="L68" t="str">
        <f t="shared" si="2"/>
        <v>Dairy</v>
      </c>
      <c r="R68" t="s">
        <v>228</v>
      </c>
      <c r="S68">
        <v>2</v>
      </c>
    </row>
    <row r="69" spans="2:19" x14ac:dyDescent="0.3">
      <c r="B69" t="s">
        <v>68</v>
      </c>
      <c r="C69" t="str">
        <v>Herbs</v>
      </c>
      <c r="D69" t="str">
        <f t="shared" si="3"/>
        <v>Herbs</v>
      </c>
      <c r="E69">
        <f t="shared" si="4"/>
        <v>7</v>
      </c>
      <c r="F69" t="s">
        <v>291</v>
      </c>
      <c r="J69" t="s">
        <v>183</v>
      </c>
      <c r="K69" t="s">
        <v>101</v>
      </c>
      <c r="L69" t="str">
        <f t="shared" si="2"/>
        <v>Dairy</v>
      </c>
      <c r="R69" t="s">
        <v>229</v>
      </c>
      <c r="S69">
        <v>7</v>
      </c>
    </row>
    <row r="70" spans="2:19" x14ac:dyDescent="0.3">
      <c r="B70" t="s">
        <v>70</v>
      </c>
      <c r="C70" t="str">
        <v>Dairy</v>
      </c>
      <c r="D70" t="str">
        <f t="shared" si="3"/>
        <v>Dairy</v>
      </c>
      <c r="E70">
        <f t="shared" si="4"/>
        <v>6</v>
      </c>
      <c r="F70" t="s">
        <v>296</v>
      </c>
      <c r="J70" t="s">
        <v>184</v>
      </c>
      <c r="K70" t="s">
        <v>40</v>
      </c>
      <c r="L70" t="str">
        <f t="shared" si="2"/>
        <v>Herbs</v>
      </c>
      <c r="R70" t="s">
        <v>230</v>
      </c>
      <c r="S70">
        <v>7</v>
      </c>
    </row>
    <row r="71" spans="2:19" x14ac:dyDescent="0.3">
      <c r="B71" t="s">
        <v>71</v>
      </c>
      <c r="C71" t="str">
        <v>Dairy</v>
      </c>
      <c r="D71" t="str">
        <f t="shared" si="3"/>
        <v>Dairy</v>
      </c>
      <c r="E71">
        <f t="shared" si="4"/>
        <v>6</v>
      </c>
      <c r="F71" t="s">
        <v>295</v>
      </c>
      <c r="J71" t="s">
        <v>184</v>
      </c>
      <c r="K71" t="s">
        <v>48</v>
      </c>
      <c r="L71" t="str">
        <f t="shared" si="2"/>
        <v>Herbs</v>
      </c>
      <c r="R71" t="s">
        <v>231</v>
      </c>
      <c r="S71">
        <v>6</v>
      </c>
    </row>
    <row r="72" spans="2:19" x14ac:dyDescent="0.3">
      <c r="B72" t="s">
        <v>72</v>
      </c>
      <c r="C72" t="str">
        <v>Vegetables</v>
      </c>
      <c r="D72" t="str">
        <f t="shared" si="3"/>
        <v>Vegetables</v>
      </c>
      <c r="E72">
        <f t="shared" si="4"/>
        <v>3</v>
      </c>
      <c r="F72" t="s">
        <v>289</v>
      </c>
      <c r="J72" t="s">
        <v>184</v>
      </c>
      <c r="K72" t="s">
        <v>67</v>
      </c>
      <c r="L72" t="str">
        <f t="shared" si="2"/>
        <v>Herbs</v>
      </c>
      <c r="R72" t="s">
        <v>232</v>
      </c>
      <c r="S72">
        <v>6</v>
      </c>
    </row>
    <row r="73" spans="2:19" x14ac:dyDescent="0.3">
      <c r="B73" t="s">
        <v>84</v>
      </c>
      <c r="C73" t="str">
        <v>Fruits</v>
      </c>
      <c r="D73" t="str">
        <f t="shared" si="3"/>
        <v>Fruits</v>
      </c>
      <c r="E73">
        <f t="shared" si="4"/>
        <v>4</v>
      </c>
      <c r="F73" t="s">
        <v>289</v>
      </c>
      <c r="J73" t="s">
        <v>184</v>
      </c>
      <c r="K73" t="s">
        <v>68</v>
      </c>
      <c r="L73" t="str">
        <f t="shared" si="2"/>
        <v>Herbs</v>
      </c>
      <c r="R73" t="s">
        <v>233</v>
      </c>
      <c r="S73">
        <v>3</v>
      </c>
    </row>
    <row r="74" spans="2:19" x14ac:dyDescent="0.3">
      <c r="B74" t="s">
        <v>85</v>
      </c>
      <c r="C74" t="str">
        <v>Grains</v>
      </c>
      <c r="D74" t="str">
        <f t="shared" si="3"/>
        <v>Grains</v>
      </c>
      <c r="E74">
        <f t="shared" si="4"/>
        <v>5</v>
      </c>
      <c r="F74" t="s">
        <v>20</v>
      </c>
      <c r="J74" t="s">
        <v>184</v>
      </c>
      <c r="K74" t="s">
        <v>126</v>
      </c>
      <c r="L74" t="str">
        <f t="shared" si="2"/>
        <v>Herbs</v>
      </c>
      <c r="R74" t="s">
        <v>234</v>
      </c>
      <c r="S74">
        <v>4</v>
      </c>
    </row>
    <row r="75" spans="2:19" x14ac:dyDescent="0.3">
      <c r="B75" t="s">
        <v>86</v>
      </c>
      <c r="C75" t="str">
        <v>Condiments</v>
      </c>
      <c r="D75" t="str">
        <f t="shared" si="3"/>
        <v>Condiments</v>
      </c>
      <c r="E75">
        <f t="shared" si="4"/>
        <v>10</v>
      </c>
      <c r="F75" t="s">
        <v>295</v>
      </c>
      <c r="J75" t="s">
        <v>184</v>
      </c>
      <c r="K75" t="s">
        <v>127</v>
      </c>
      <c r="L75" t="str">
        <f t="shared" si="2"/>
        <v>Herbs</v>
      </c>
      <c r="R75" t="s">
        <v>235</v>
      </c>
      <c r="S75">
        <v>5</v>
      </c>
    </row>
    <row r="76" spans="2:19" x14ac:dyDescent="0.3">
      <c r="B76" t="s">
        <v>87</v>
      </c>
      <c r="C76" t="str">
        <v>Dairy</v>
      </c>
      <c r="D76" t="str">
        <f t="shared" si="3"/>
        <v>Dairy</v>
      </c>
      <c r="E76">
        <f t="shared" si="4"/>
        <v>6</v>
      </c>
      <c r="F76" t="s">
        <v>295</v>
      </c>
      <c r="J76" t="s">
        <v>184</v>
      </c>
      <c r="K76" t="s">
        <v>128</v>
      </c>
      <c r="L76" t="str">
        <f t="shared" si="2"/>
        <v>Herbs</v>
      </c>
      <c r="R76" t="s">
        <v>236</v>
      </c>
      <c r="S76">
        <v>10</v>
      </c>
    </row>
    <row r="77" spans="2:19" x14ac:dyDescent="0.3">
      <c r="B77" t="s">
        <v>88</v>
      </c>
      <c r="C77" t="str">
        <v>Dairy</v>
      </c>
      <c r="D77" t="str">
        <f t="shared" si="3"/>
        <v>Dairy</v>
      </c>
      <c r="E77">
        <f t="shared" si="4"/>
        <v>6</v>
      </c>
      <c r="F77" t="s">
        <v>289</v>
      </c>
      <c r="J77" t="s">
        <v>184</v>
      </c>
      <c r="K77" t="s">
        <v>59</v>
      </c>
      <c r="L77" t="str">
        <f t="shared" si="2"/>
        <v>Herbs</v>
      </c>
      <c r="R77" t="s">
        <v>237</v>
      </c>
      <c r="S77">
        <v>6</v>
      </c>
    </row>
    <row r="78" spans="2:19" x14ac:dyDescent="0.3">
      <c r="B78" t="s">
        <v>89</v>
      </c>
      <c r="C78" t="str">
        <v>Condiments</v>
      </c>
      <c r="D78" t="str">
        <f t="shared" si="3"/>
        <v>Condiments</v>
      </c>
      <c r="E78">
        <f t="shared" si="4"/>
        <v>10</v>
      </c>
      <c r="F78" t="s">
        <v>292</v>
      </c>
      <c r="J78" t="s">
        <v>185</v>
      </c>
      <c r="K78" t="s">
        <v>18</v>
      </c>
      <c r="L78" t="str">
        <f t="shared" si="2"/>
        <v>Spices</v>
      </c>
      <c r="R78" t="s">
        <v>238</v>
      </c>
      <c r="S78">
        <v>6</v>
      </c>
    </row>
    <row r="79" spans="2:19" x14ac:dyDescent="0.3">
      <c r="B79" t="s">
        <v>99</v>
      </c>
      <c r="C79" t="str">
        <v>Condiments</v>
      </c>
      <c r="D79" t="str">
        <f t="shared" si="3"/>
        <v>Condiments</v>
      </c>
      <c r="E79">
        <f t="shared" si="4"/>
        <v>10</v>
      </c>
      <c r="F79" t="s">
        <v>292</v>
      </c>
      <c r="J79" t="s">
        <v>185</v>
      </c>
      <c r="K79" t="s">
        <v>31</v>
      </c>
      <c r="L79" t="str">
        <f t="shared" si="2"/>
        <v>Spices</v>
      </c>
      <c r="R79" t="s">
        <v>239</v>
      </c>
      <c r="S79">
        <v>10</v>
      </c>
    </row>
    <row r="80" spans="2:19" x14ac:dyDescent="0.3">
      <c r="B80" t="s">
        <v>96</v>
      </c>
      <c r="C80" t="str">
        <v>Grains</v>
      </c>
      <c r="D80" t="str">
        <f t="shared" si="3"/>
        <v>Grains</v>
      </c>
      <c r="E80">
        <f t="shared" si="4"/>
        <v>5</v>
      </c>
      <c r="F80" t="s">
        <v>295</v>
      </c>
      <c r="J80" t="s">
        <v>185</v>
      </c>
      <c r="K80" t="s">
        <v>310</v>
      </c>
      <c r="L80" t="str">
        <f t="shared" si="2"/>
        <v>Spices</v>
      </c>
      <c r="R80" t="s">
        <v>240</v>
      </c>
      <c r="S80">
        <v>10</v>
      </c>
    </row>
    <row r="81" spans="2:19" x14ac:dyDescent="0.3">
      <c r="B81" t="s">
        <v>97</v>
      </c>
      <c r="C81" t="str">
        <v>Grains</v>
      </c>
      <c r="D81" t="str">
        <f t="shared" si="3"/>
        <v>Grains</v>
      </c>
      <c r="E81">
        <f t="shared" si="4"/>
        <v>5</v>
      </c>
      <c r="F81" t="s">
        <v>295</v>
      </c>
      <c r="J81" t="s">
        <v>185</v>
      </c>
      <c r="K81" t="s">
        <v>35</v>
      </c>
      <c r="L81" t="str">
        <f t="shared" si="2"/>
        <v>Spices</v>
      </c>
      <c r="R81" t="s">
        <v>241</v>
      </c>
      <c r="S81">
        <v>5</v>
      </c>
    </row>
    <row r="82" spans="2:19" x14ac:dyDescent="0.3">
      <c r="B82" t="s">
        <v>98</v>
      </c>
      <c r="C82" t="str">
        <v>Spices</v>
      </c>
      <c r="D82" t="str">
        <f t="shared" si="3"/>
        <v>Spices</v>
      </c>
      <c r="E82">
        <f t="shared" si="4"/>
        <v>8</v>
      </c>
      <c r="F82" t="s">
        <v>292</v>
      </c>
      <c r="J82" t="s">
        <v>185</v>
      </c>
      <c r="K82" t="s">
        <v>60</v>
      </c>
      <c r="L82" t="str">
        <f t="shared" si="2"/>
        <v>Spices</v>
      </c>
      <c r="R82" t="s">
        <v>242</v>
      </c>
      <c r="S82">
        <v>5</v>
      </c>
    </row>
    <row r="83" spans="2:19" x14ac:dyDescent="0.3">
      <c r="B83" t="s">
        <v>100</v>
      </c>
      <c r="C83" t="str">
        <v>Condiments</v>
      </c>
      <c r="D83" t="str">
        <f t="shared" si="3"/>
        <v>Condiments</v>
      </c>
      <c r="E83">
        <f t="shared" si="4"/>
        <v>10</v>
      </c>
      <c r="F83" t="s">
        <v>293</v>
      </c>
      <c r="J83" t="s">
        <v>185</v>
      </c>
      <c r="K83" t="s">
        <v>98</v>
      </c>
      <c r="L83" t="str">
        <f t="shared" si="2"/>
        <v>Spices</v>
      </c>
      <c r="R83" t="s">
        <v>243</v>
      </c>
      <c r="S83">
        <v>8</v>
      </c>
    </row>
    <row r="84" spans="2:19" x14ac:dyDescent="0.3">
      <c r="B84" t="s">
        <v>101</v>
      </c>
      <c r="C84" t="str">
        <v>Dairy</v>
      </c>
      <c r="D84" t="str">
        <f t="shared" si="3"/>
        <v>Dairy</v>
      </c>
      <c r="E84">
        <f t="shared" si="4"/>
        <v>6</v>
      </c>
      <c r="F84" t="s">
        <v>296</v>
      </c>
      <c r="J84" t="s">
        <v>185</v>
      </c>
      <c r="K84" t="s">
        <v>134</v>
      </c>
      <c r="L84" t="str">
        <f t="shared" si="2"/>
        <v>Spices</v>
      </c>
      <c r="R84" t="s">
        <v>244</v>
      </c>
      <c r="S84">
        <v>10</v>
      </c>
    </row>
    <row r="85" spans="2:19" x14ac:dyDescent="0.3">
      <c r="B85" t="s">
        <v>102</v>
      </c>
      <c r="C85" t="str">
        <v>Fruits</v>
      </c>
      <c r="D85" t="str">
        <f t="shared" si="3"/>
        <v>Fruits</v>
      </c>
      <c r="E85">
        <f t="shared" si="4"/>
        <v>4</v>
      </c>
      <c r="F85" t="s">
        <v>295</v>
      </c>
      <c r="J85" t="s">
        <v>185</v>
      </c>
      <c r="K85" t="s">
        <v>135</v>
      </c>
      <c r="L85" t="str">
        <f t="shared" si="2"/>
        <v>Spices</v>
      </c>
      <c r="R85" t="s">
        <v>245</v>
      </c>
      <c r="S85">
        <v>6</v>
      </c>
    </row>
    <row r="86" spans="2:19" x14ac:dyDescent="0.3">
      <c r="B86" t="s">
        <v>109</v>
      </c>
      <c r="C86" t="str">
        <v>Vegetables</v>
      </c>
      <c r="D86" t="str">
        <f t="shared" si="3"/>
        <v>Vegetables</v>
      </c>
      <c r="E86">
        <f t="shared" si="4"/>
        <v>3</v>
      </c>
      <c r="F86" t="s">
        <v>295</v>
      </c>
      <c r="J86" t="s">
        <v>186</v>
      </c>
      <c r="K86" t="s">
        <v>24</v>
      </c>
      <c r="L86" t="str">
        <f t="shared" ref="L86:L96" si="5">J86</f>
        <v>Oils &amp; Fats</v>
      </c>
      <c r="R86" t="s">
        <v>246</v>
      </c>
      <c r="S86">
        <v>4</v>
      </c>
    </row>
    <row r="87" spans="2:19" x14ac:dyDescent="0.3">
      <c r="B87" t="s">
        <v>111</v>
      </c>
      <c r="C87" t="str">
        <v>Vegetables</v>
      </c>
      <c r="D87" t="str">
        <f t="shared" si="3"/>
        <v>Vegetables</v>
      </c>
      <c r="E87">
        <f t="shared" si="4"/>
        <v>3</v>
      </c>
      <c r="F87" t="s">
        <v>289</v>
      </c>
      <c r="J87" t="s">
        <v>187</v>
      </c>
      <c r="K87" t="s">
        <v>19</v>
      </c>
      <c r="L87" t="str">
        <f t="shared" si="5"/>
        <v>Condiments</v>
      </c>
      <c r="R87" t="s">
        <v>247</v>
      </c>
      <c r="S87">
        <v>3</v>
      </c>
    </row>
    <row r="88" spans="2:19" x14ac:dyDescent="0.3">
      <c r="B88" t="s">
        <v>112</v>
      </c>
      <c r="C88" t="str">
        <v>Vegetables</v>
      </c>
      <c r="D88" t="str">
        <f t="shared" si="3"/>
        <v>Vegetables</v>
      </c>
      <c r="E88">
        <f t="shared" si="4"/>
        <v>3</v>
      </c>
      <c r="F88" t="s">
        <v>289</v>
      </c>
      <c r="J88" t="s">
        <v>187</v>
      </c>
      <c r="K88" t="s">
        <v>22</v>
      </c>
      <c r="L88" t="str">
        <f t="shared" si="5"/>
        <v>Condiments</v>
      </c>
      <c r="R88" t="s">
        <v>194</v>
      </c>
      <c r="S88">
        <v>3</v>
      </c>
    </row>
    <row r="89" spans="2:19" x14ac:dyDescent="0.3">
      <c r="B89" t="s">
        <v>113</v>
      </c>
      <c r="C89" t="str">
        <v>Vegetables</v>
      </c>
      <c r="D89" t="str">
        <f t="shared" si="3"/>
        <v>Vegetables</v>
      </c>
      <c r="E89">
        <f t="shared" si="4"/>
        <v>3</v>
      </c>
      <c r="F89" t="s">
        <v>289</v>
      </c>
      <c r="J89" t="s">
        <v>187</v>
      </c>
      <c r="K89" t="s">
        <v>23</v>
      </c>
      <c r="L89" t="str">
        <f t="shared" si="5"/>
        <v>Condiments</v>
      </c>
      <c r="R89" t="s">
        <v>248</v>
      </c>
      <c r="S89">
        <v>3</v>
      </c>
    </row>
    <row r="90" spans="2:19" x14ac:dyDescent="0.3">
      <c r="B90" t="s">
        <v>114</v>
      </c>
      <c r="C90" t="str">
        <v>Fruits</v>
      </c>
      <c r="D90" t="str">
        <f t="shared" si="3"/>
        <v>Fruits</v>
      </c>
      <c r="E90">
        <f t="shared" si="4"/>
        <v>4</v>
      </c>
      <c r="F90" t="s">
        <v>289</v>
      </c>
      <c r="J90" t="s">
        <v>187</v>
      </c>
      <c r="K90" t="s">
        <v>38</v>
      </c>
      <c r="L90" t="str">
        <f t="shared" si="5"/>
        <v>Condiments</v>
      </c>
      <c r="R90" t="s">
        <v>249</v>
      </c>
      <c r="S90">
        <v>3</v>
      </c>
    </row>
    <row r="91" spans="2:19" x14ac:dyDescent="0.3">
      <c r="B91" t="s">
        <v>115</v>
      </c>
      <c r="C91" t="str">
        <v>Condiments</v>
      </c>
      <c r="D91" t="str">
        <f t="shared" si="3"/>
        <v>Condiments</v>
      </c>
      <c r="E91">
        <f t="shared" si="4"/>
        <v>10</v>
      </c>
      <c r="F91" t="s">
        <v>293</v>
      </c>
      <c r="J91" t="s">
        <v>187</v>
      </c>
      <c r="K91" t="s">
        <v>53</v>
      </c>
      <c r="L91" t="str">
        <f t="shared" si="5"/>
        <v>Condiments</v>
      </c>
      <c r="R91" t="s">
        <v>250</v>
      </c>
      <c r="S91">
        <v>3</v>
      </c>
    </row>
    <row r="92" spans="2:19" x14ac:dyDescent="0.3">
      <c r="B92" t="s">
        <v>116</v>
      </c>
      <c r="C92" t="str">
        <v>Condiments</v>
      </c>
      <c r="D92" t="str">
        <f t="shared" si="3"/>
        <v>Condiments</v>
      </c>
      <c r="E92">
        <f t="shared" si="4"/>
        <v>10</v>
      </c>
      <c r="F92" t="s">
        <v>293</v>
      </c>
      <c r="J92" t="s">
        <v>187</v>
      </c>
      <c r="K92" t="s">
        <v>65</v>
      </c>
      <c r="L92" t="str">
        <f t="shared" si="5"/>
        <v>Condiments</v>
      </c>
      <c r="R92" t="s">
        <v>251</v>
      </c>
      <c r="S92">
        <v>4</v>
      </c>
    </row>
    <row r="93" spans="2:19" x14ac:dyDescent="0.3">
      <c r="B93" t="s">
        <v>189</v>
      </c>
      <c r="C93" t="str">
        <v>Condiments</v>
      </c>
      <c r="D93" t="str">
        <f t="shared" si="3"/>
        <v>Condiments</v>
      </c>
      <c r="E93">
        <f t="shared" si="4"/>
        <v>10</v>
      </c>
      <c r="F93" t="s">
        <v>292</v>
      </c>
      <c r="J93" t="s">
        <v>187</v>
      </c>
      <c r="K93" t="s">
        <v>124</v>
      </c>
      <c r="L93" t="str">
        <f t="shared" si="5"/>
        <v>Condiments</v>
      </c>
      <c r="R93" t="s">
        <v>252</v>
      </c>
      <c r="S93">
        <v>10</v>
      </c>
    </row>
    <row r="94" spans="2:19" x14ac:dyDescent="0.3">
      <c r="B94" t="s">
        <v>121</v>
      </c>
      <c r="C94" t="str">
        <v>Meat</v>
      </c>
      <c r="D94" t="str">
        <f t="shared" si="3"/>
        <v>Meat</v>
      </c>
      <c r="E94">
        <f t="shared" si="4"/>
        <v>1</v>
      </c>
      <c r="F94" t="s">
        <v>295</v>
      </c>
      <c r="J94" t="s">
        <v>187</v>
      </c>
      <c r="K94" t="s">
        <v>115</v>
      </c>
      <c r="L94" t="str">
        <f t="shared" si="5"/>
        <v>Condiments</v>
      </c>
      <c r="R94" t="s">
        <v>253</v>
      </c>
      <c r="S94">
        <v>10</v>
      </c>
    </row>
    <row r="95" spans="2:19" x14ac:dyDescent="0.3">
      <c r="B95" t="s">
        <v>122</v>
      </c>
      <c r="C95" t="str">
        <v>Condiments</v>
      </c>
      <c r="D95" t="str">
        <f t="shared" si="3"/>
        <v>Condiments</v>
      </c>
      <c r="E95">
        <f t="shared" si="4"/>
        <v>10</v>
      </c>
      <c r="F95" t="s">
        <v>296</v>
      </c>
      <c r="J95" t="s">
        <v>187</v>
      </c>
      <c r="K95" t="s">
        <v>116</v>
      </c>
      <c r="L95" t="str">
        <f t="shared" si="5"/>
        <v>Condiments</v>
      </c>
      <c r="R95" t="s">
        <v>254</v>
      </c>
      <c r="S95">
        <v>10</v>
      </c>
    </row>
    <row r="96" spans="2:19" x14ac:dyDescent="0.3">
      <c r="B96" t="s">
        <v>123</v>
      </c>
      <c r="C96" t="str">
        <v>Condiments</v>
      </c>
      <c r="D96" t="str">
        <f t="shared" ref="D96:D114" si="6">VLOOKUP(B96,$K$32:$L$116,2,FALSE)</f>
        <v>Condiments</v>
      </c>
      <c r="E96">
        <f t="shared" ref="E96:E114" si="7">VLOOKUP(C96,$N$32:$O$44,2,FALSE)</f>
        <v>10</v>
      </c>
      <c r="F96" t="s">
        <v>293</v>
      </c>
      <c r="J96" t="s">
        <v>187</v>
      </c>
      <c r="K96" t="s">
        <v>189</v>
      </c>
      <c r="L96" t="str">
        <f t="shared" si="5"/>
        <v>Condiments</v>
      </c>
      <c r="R96" t="s">
        <v>255</v>
      </c>
      <c r="S96">
        <v>1</v>
      </c>
    </row>
    <row r="97" spans="2:19" x14ac:dyDescent="0.3">
      <c r="B97" t="s">
        <v>124</v>
      </c>
      <c r="C97" t="str">
        <v>Condiments</v>
      </c>
      <c r="D97" t="str">
        <f t="shared" si="6"/>
        <v>Condiments</v>
      </c>
      <c r="E97">
        <f t="shared" si="7"/>
        <v>10</v>
      </c>
      <c r="F97" t="s">
        <v>294</v>
      </c>
      <c r="J97" t="s">
        <v>187</v>
      </c>
      <c r="K97" t="s">
        <v>123</v>
      </c>
      <c r="L97" t="str">
        <f t="shared" ref="L97:L115" si="8">J97</f>
        <v>Condiments</v>
      </c>
      <c r="R97" t="s">
        <v>256</v>
      </c>
      <c r="S97">
        <v>10</v>
      </c>
    </row>
    <row r="98" spans="2:19" x14ac:dyDescent="0.3">
      <c r="B98" t="s">
        <v>125</v>
      </c>
      <c r="C98" t="str">
        <v>Dairy</v>
      </c>
      <c r="D98" t="str">
        <f t="shared" si="6"/>
        <v>Dairy</v>
      </c>
      <c r="E98">
        <f t="shared" si="7"/>
        <v>6</v>
      </c>
      <c r="F98" t="s">
        <v>295</v>
      </c>
      <c r="J98" t="s">
        <v>187</v>
      </c>
      <c r="K98" t="s">
        <v>100</v>
      </c>
      <c r="L98" t="str">
        <f t="shared" si="8"/>
        <v>Condiments</v>
      </c>
      <c r="R98" t="s">
        <v>257</v>
      </c>
      <c r="S98">
        <v>10</v>
      </c>
    </row>
    <row r="99" spans="2:19" x14ac:dyDescent="0.3">
      <c r="B99" t="s">
        <v>126</v>
      </c>
      <c r="C99" t="str">
        <v>Herbs</v>
      </c>
      <c r="D99" t="str">
        <f t="shared" si="6"/>
        <v>Herbs</v>
      </c>
      <c r="E99">
        <f t="shared" si="7"/>
        <v>7</v>
      </c>
      <c r="F99" t="s">
        <v>291</v>
      </c>
      <c r="J99" t="s">
        <v>187</v>
      </c>
      <c r="K99" t="s">
        <v>86</v>
      </c>
      <c r="L99" t="str">
        <f t="shared" si="8"/>
        <v>Condiments</v>
      </c>
      <c r="R99" t="s">
        <v>258</v>
      </c>
      <c r="S99">
        <v>10</v>
      </c>
    </row>
    <row r="100" spans="2:19" x14ac:dyDescent="0.3">
      <c r="B100" t="s">
        <v>127</v>
      </c>
      <c r="C100" t="str">
        <v>Herbs</v>
      </c>
      <c r="D100" t="str">
        <f t="shared" si="6"/>
        <v>Herbs</v>
      </c>
      <c r="E100">
        <f t="shared" si="7"/>
        <v>7</v>
      </c>
      <c r="F100" t="s">
        <v>292</v>
      </c>
      <c r="J100" t="s">
        <v>187</v>
      </c>
      <c r="K100" t="s">
        <v>99</v>
      </c>
      <c r="L100" t="str">
        <f t="shared" si="8"/>
        <v>Condiments</v>
      </c>
      <c r="R100" t="s">
        <v>259</v>
      </c>
      <c r="S100">
        <v>6</v>
      </c>
    </row>
    <row r="101" spans="2:19" x14ac:dyDescent="0.3">
      <c r="B101" t="s">
        <v>128</v>
      </c>
      <c r="C101" t="str">
        <v>Herbs</v>
      </c>
      <c r="D101" t="str">
        <f t="shared" si="6"/>
        <v>Herbs</v>
      </c>
      <c r="E101">
        <f t="shared" si="7"/>
        <v>7</v>
      </c>
      <c r="F101" t="s">
        <v>291</v>
      </c>
      <c r="J101" t="s">
        <v>187</v>
      </c>
      <c r="K101" t="s">
        <v>89</v>
      </c>
      <c r="L101" t="str">
        <f t="shared" si="8"/>
        <v>Condiments</v>
      </c>
      <c r="R101" t="s">
        <v>260</v>
      </c>
      <c r="S101">
        <v>7</v>
      </c>
    </row>
    <row r="102" spans="2:19" x14ac:dyDescent="0.3">
      <c r="B102" t="s">
        <v>133</v>
      </c>
      <c r="C102" t="str">
        <v>Vegetables</v>
      </c>
      <c r="D102" t="str">
        <f t="shared" si="6"/>
        <v>Vegetables</v>
      </c>
      <c r="E102">
        <f t="shared" si="7"/>
        <v>3</v>
      </c>
      <c r="F102" t="s">
        <v>289</v>
      </c>
      <c r="J102" t="s">
        <v>187</v>
      </c>
      <c r="K102" t="s">
        <v>122</v>
      </c>
      <c r="L102" t="str">
        <f t="shared" si="8"/>
        <v>Condiments</v>
      </c>
      <c r="R102" t="s">
        <v>261</v>
      </c>
      <c r="S102">
        <v>7</v>
      </c>
    </row>
    <row r="103" spans="2:19" x14ac:dyDescent="0.3">
      <c r="B103" t="s">
        <v>134</v>
      </c>
      <c r="C103" t="str">
        <v>Spices</v>
      </c>
      <c r="D103" t="str">
        <f t="shared" si="6"/>
        <v>Spices</v>
      </c>
      <c r="E103">
        <f t="shared" si="7"/>
        <v>8</v>
      </c>
      <c r="F103" t="s">
        <v>292</v>
      </c>
      <c r="J103" t="s">
        <v>187</v>
      </c>
      <c r="K103" t="s">
        <v>147</v>
      </c>
      <c r="L103" t="str">
        <f t="shared" si="8"/>
        <v>Condiments</v>
      </c>
      <c r="R103" t="s">
        <v>262</v>
      </c>
      <c r="S103">
        <v>7</v>
      </c>
    </row>
    <row r="104" spans="2:19" x14ac:dyDescent="0.3">
      <c r="B104" t="s">
        <v>135</v>
      </c>
      <c r="C104" t="str">
        <v>Spices</v>
      </c>
      <c r="D104" t="str">
        <f t="shared" si="6"/>
        <v>Spices</v>
      </c>
      <c r="E104">
        <f t="shared" si="7"/>
        <v>8</v>
      </c>
      <c r="F104" t="s">
        <v>292</v>
      </c>
      <c r="J104" t="s">
        <v>192</v>
      </c>
      <c r="K104" s="19" t="s">
        <v>50</v>
      </c>
      <c r="L104" t="str">
        <f t="shared" si="8"/>
        <v>Others</v>
      </c>
      <c r="R104" t="s">
        <v>263</v>
      </c>
      <c r="S104">
        <v>3</v>
      </c>
    </row>
    <row r="105" spans="2:19" x14ac:dyDescent="0.3">
      <c r="B105" t="s">
        <v>136</v>
      </c>
      <c r="C105" t="str">
        <v>Seasoning</v>
      </c>
      <c r="D105" t="str">
        <f t="shared" si="6"/>
        <v>Seasoning</v>
      </c>
      <c r="E105">
        <f t="shared" si="7"/>
        <v>12</v>
      </c>
      <c r="F105" t="s">
        <v>292</v>
      </c>
      <c r="J105" t="s">
        <v>192</v>
      </c>
      <c r="K105" s="19" t="s">
        <v>47</v>
      </c>
      <c r="L105" t="str">
        <f t="shared" si="8"/>
        <v>Others</v>
      </c>
      <c r="R105" t="s">
        <v>264</v>
      </c>
      <c r="S105">
        <v>8</v>
      </c>
    </row>
    <row r="106" spans="2:19" x14ac:dyDescent="0.3">
      <c r="B106" t="s">
        <v>142</v>
      </c>
      <c r="C106" t="str">
        <v>Vegetables</v>
      </c>
      <c r="D106" t="str">
        <f t="shared" si="6"/>
        <v>Vegetables</v>
      </c>
      <c r="E106">
        <f t="shared" si="7"/>
        <v>3</v>
      </c>
      <c r="F106" t="s">
        <v>295</v>
      </c>
      <c r="J106" t="s">
        <v>192</v>
      </c>
      <c r="K106" s="19" t="s">
        <v>151</v>
      </c>
      <c r="L106" t="str">
        <f t="shared" si="8"/>
        <v>Others</v>
      </c>
      <c r="R106" t="s">
        <v>265</v>
      </c>
      <c r="S106">
        <v>8</v>
      </c>
    </row>
    <row r="107" spans="2:19" x14ac:dyDescent="0.3">
      <c r="B107" t="s">
        <v>143</v>
      </c>
      <c r="C107" t="str">
        <v>Vegetables</v>
      </c>
      <c r="D107" t="str">
        <f t="shared" si="6"/>
        <v>Vegetables</v>
      </c>
      <c r="E107">
        <f t="shared" si="7"/>
        <v>3</v>
      </c>
      <c r="F107" t="s">
        <v>295</v>
      </c>
      <c r="J107" t="s">
        <v>190</v>
      </c>
      <c r="K107" t="s">
        <v>30</v>
      </c>
      <c r="L107" t="str">
        <f t="shared" si="8"/>
        <v>Seasoning</v>
      </c>
      <c r="R107" t="s">
        <v>266</v>
      </c>
      <c r="S107">
        <v>12</v>
      </c>
    </row>
    <row r="108" spans="2:19" x14ac:dyDescent="0.3">
      <c r="B108" t="s">
        <v>144</v>
      </c>
      <c r="C108" t="str">
        <v>Vegetables</v>
      </c>
      <c r="D108" t="str">
        <f t="shared" si="6"/>
        <v>Vegetables</v>
      </c>
      <c r="E108">
        <f t="shared" si="7"/>
        <v>3</v>
      </c>
      <c r="F108" t="s">
        <v>289</v>
      </c>
      <c r="J108" t="s">
        <v>190</v>
      </c>
      <c r="K108" t="s">
        <v>64</v>
      </c>
      <c r="L108" t="str">
        <f t="shared" si="8"/>
        <v>Seasoning</v>
      </c>
      <c r="R108" t="s">
        <v>267</v>
      </c>
      <c r="S108">
        <v>3</v>
      </c>
    </row>
    <row r="109" spans="2:19" x14ac:dyDescent="0.3">
      <c r="B109" t="s">
        <v>145</v>
      </c>
      <c r="C109" t="str">
        <v>Vegetables</v>
      </c>
      <c r="D109" t="str">
        <f t="shared" si="6"/>
        <v>Vegetables</v>
      </c>
      <c r="E109">
        <f t="shared" si="7"/>
        <v>3</v>
      </c>
      <c r="F109" t="s">
        <v>289</v>
      </c>
      <c r="J109" t="s">
        <v>190</v>
      </c>
      <c r="K109" t="s">
        <v>136</v>
      </c>
      <c r="L109" t="str">
        <f t="shared" si="8"/>
        <v>Seasoning</v>
      </c>
      <c r="R109" t="s">
        <v>268</v>
      </c>
      <c r="S109">
        <v>3</v>
      </c>
    </row>
    <row r="110" spans="2:19" x14ac:dyDescent="0.3">
      <c r="B110" t="s">
        <v>146</v>
      </c>
      <c r="C110" t="str">
        <v>Herbs</v>
      </c>
      <c r="D110" t="str">
        <f t="shared" si="6"/>
        <v>Herbs</v>
      </c>
      <c r="E110">
        <f t="shared" si="7"/>
        <v>7</v>
      </c>
      <c r="F110" t="s">
        <v>289</v>
      </c>
      <c r="J110" t="s">
        <v>191</v>
      </c>
      <c r="K110" t="s">
        <v>52</v>
      </c>
      <c r="L110" t="str">
        <f t="shared" si="8"/>
        <v>Nuts &amp; Seeds</v>
      </c>
      <c r="R110" t="s">
        <v>269</v>
      </c>
      <c r="S110">
        <v>3</v>
      </c>
    </row>
    <row r="111" spans="2:19" x14ac:dyDescent="0.3">
      <c r="B111" t="s">
        <v>147</v>
      </c>
      <c r="C111" t="str">
        <v>Condiments</v>
      </c>
      <c r="D111" t="str">
        <f t="shared" si="6"/>
        <v>Condiments</v>
      </c>
      <c r="E111">
        <f t="shared" si="7"/>
        <v>10</v>
      </c>
      <c r="F111" t="s">
        <v>296</v>
      </c>
      <c r="J111" t="s">
        <v>183</v>
      </c>
      <c r="K111" t="s">
        <v>88</v>
      </c>
      <c r="L111" t="str">
        <f t="shared" si="8"/>
        <v>Dairy</v>
      </c>
      <c r="R111" t="s">
        <v>270</v>
      </c>
      <c r="S111">
        <v>3</v>
      </c>
    </row>
    <row r="112" spans="2:19" x14ac:dyDescent="0.3">
      <c r="B112" t="s">
        <v>149</v>
      </c>
      <c r="C112" t="str">
        <v>Vegetables</v>
      </c>
      <c r="D112" t="str">
        <f t="shared" si="6"/>
        <v>Vegetables</v>
      </c>
      <c r="E112">
        <f t="shared" si="7"/>
        <v>3</v>
      </c>
      <c r="F112" t="s">
        <v>289</v>
      </c>
      <c r="J112" t="s">
        <v>180</v>
      </c>
      <c r="K112" t="s">
        <v>109</v>
      </c>
      <c r="L112" t="str">
        <f t="shared" si="8"/>
        <v>Vegetables</v>
      </c>
      <c r="R112" t="s">
        <v>271</v>
      </c>
      <c r="S112">
        <v>7</v>
      </c>
    </row>
    <row r="113" spans="2:19" x14ac:dyDescent="0.3">
      <c r="B113" t="s">
        <v>150</v>
      </c>
      <c r="C113" t="str">
        <v>Dairy</v>
      </c>
      <c r="D113" t="str">
        <f t="shared" si="6"/>
        <v>Dairy</v>
      </c>
      <c r="E113">
        <f t="shared" si="7"/>
        <v>6</v>
      </c>
      <c r="F113" t="s">
        <v>296</v>
      </c>
      <c r="J113" t="s">
        <v>180</v>
      </c>
      <c r="K113" t="s">
        <v>111</v>
      </c>
      <c r="L113" t="str">
        <f t="shared" si="8"/>
        <v>Vegetables</v>
      </c>
      <c r="R113" t="s">
        <v>272</v>
      </c>
      <c r="S113">
        <v>10</v>
      </c>
    </row>
    <row r="114" spans="2:19" x14ac:dyDescent="0.3">
      <c r="B114" t="s">
        <v>151</v>
      </c>
      <c r="C114" t="str">
        <v>Others</v>
      </c>
      <c r="D114" t="str">
        <f t="shared" si="6"/>
        <v>Others</v>
      </c>
      <c r="E114">
        <f t="shared" si="7"/>
        <v>13</v>
      </c>
      <c r="F114" t="s">
        <v>296</v>
      </c>
      <c r="J114" t="s">
        <v>180</v>
      </c>
      <c r="K114" t="s">
        <v>144</v>
      </c>
      <c r="L114" t="str">
        <f t="shared" si="8"/>
        <v>Vegetables</v>
      </c>
      <c r="R114" t="s">
        <v>273</v>
      </c>
      <c r="S114">
        <v>3</v>
      </c>
    </row>
    <row r="115" spans="2:19" x14ac:dyDescent="0.3">
      <c r="J115" t="s">
        <v>184</v>
      </c>
      <c r="K115" t="s">
        <v>146</v>
      </c>
      <c r="L115" t="str">
        <f t="shared" si="8"/>
        <v>Herbs</v>
      </c>
      <c r="R115" t="s">
        <v>274</v>
      </c>
      <c r="S115">
        <v>6</v>
      </c>
    </row>
    <row r="116" spans="2:19" x14ac:dyDescent="0.3">
      <c r="R116" t="s">
        <v>275</v>
      </c>
      <c r="S116">
        <v>13</v>
      </c>
    </row>
    <row r="117" spans="2:19" x14ac:dyDescent="0.3">
      <c r="B117" t="s">
        <v>311</v>
      </c>
      <c r="C117" t="s">
        <v>312</v>
      </c>
      <c r="D117" t="s">
        <v>43</v>
      </c>
      <c r="E117" t="s">
        <v>298</v>
      </c>
      <c r="F117" t="s">
        <v>313</v>
      </c>
      <c r="I117" t="s">
        <v>311</v>
      </c>
      <c r="J117" t="s">
        <v>288</v>
      </c>
      <c r="K117" t="s">
        <v>312</v>
      </c>
      <c r="L117" t="s">
        <v>298</v>
      </c>
      <c r="M117" t="s">
        <v>43</v>
      </c>
      <c r="N117" t="s">
        <v>313</v>
      </c>
    </row>
    <row r="118" spans="2:19" x14ac:dyDescent="0.3">
      <c r="B118" t="s">
        <v>11</v>
      </c>
      <c r="C118">
        <v>5</v>
      </c>
      <c r="D118" t="s">
        <v>299</v>
      </c>
      <c r="E118">
        <f>VLOOKUP(D118,$U$32:$V$42,2,FALSE)</f>
        <v>7</v>
      </c>
      <c r="F118" t="str">
        <f>VLOOKUP(B118,$K$32:$L$115,2,FALSE)</f>
        <v>Vegetables</v>
      </c>
      <c r="I118" t="s">
        <v>11</v>
      </c>
      <c r="J118">
        <v>1</v>
      </c>
      <c r="K118">
        <v>5</v>
      </c>
      <c r="L118">
        <v>7</v>
      </c>
      <c r="M118" t="s">
        <v>299</v>
      </c>
      <c r="N118" t="s">
        <v>180</v>
      </c>
    </row>
    <row r="119" spans="2:19" x14ac:dyDescent="0.3">
      <c r="B119" t="s">
        <v>16</v>
      </c>
      <c r="C119">
        <v>30</v>
      </c>
      <c r="D119" t="s">
        <v>301</v>
      </c>
      <c r="E119">
        <f t="shared" ref="E119:E182" si="9">VLOOKUP(D119,$U$32:$V$42,2,FALSE)</f>
        <v>8</v>
      </c>
      <c r="F119" t="str">
        <f t="shared" ref="F119:F182" si="10">VLOOKUP(B119,$K$32:$L$115,2,FALSE)</f>
        <v>Vegetables</v>
      </c>
      <c r="I119" t="s">
        <v>16</v>
      </c>
      <c r="J119">
        <v>2</v>
      </c>
      <c r="K119">
        <v>30</v>
      </c>
      <c r="L119">
        <v>8</v>
      </c>
      <c r="M119" t="s">
        <v>301</v>
      </c>
      <c r="N119" t="s">
        <v>180</v>
      </c>
    </row>
    <row r="120" spans="2:19" x14ac:dyDescent="0.3">
      <c r="B120" t="s">
        <v>40</v>
      </c>
      <c r="C120">
        <v>200</v>
      </c>
      <c r="D120" t="s">
        <v>20</v>
      </c>
      <c r="E120">
        <f t="shared" si="9"/>
        <v>1</v>
      </c>
      <c r="F120" t="str">
        <f t="shared" si="10"/>
        <v>Herbs</v>
      </c>
      <c r="I120" t="s">
        <v>40</v>
      </c>
      <c r="J120">
        <v>3</v>
      </c>
      <c r="K120">
        <v>200</v>
      </c>
      <c r="L120">
        <v>1</v>
      </c>
      <c r="M120" t="s">
        <v>20</v>
      </c>
      <c r="N120" t="s">
        <v>184</v>
      </c>
    </row>
    <row r="121" spans="2:19" x14ac:dyDescent="0.3">
      <c r="B121" t="s">
        <v>18</v>
      </c>
      <c r="C121">
        <v>5</v>
      </c>
      <c r="D121" t="s">
        <v>36</v>
      </c>
      <c r="E121">
        <f t="shared" si="9"/>
        <v>5</v>
      </c>
      <c r="F121" t="str">
        <f t="shared" si="10"/>
        <v>Spices</v>
      </c>
      <c r="I121" t="s">
        <v>18</v>
      </c>
      <c r="J121">
        <v>4</v>
      </c>
      <c r="K121">
        <v>5</v>
      </c>
      <c r="L121">
        <v>5</v>
      </c>
      <c r="M121" t="s">
        <v>36</v>
      </c>
      <c r="N121" t="s">
        <v>185</v>
      </c>
    </row>
    <row r="122" spans="2:19" x14ac:dyDescent="0.3">
      <c r="B122" t="s">
        <v>19</v>
      </c>
      <c r="C122">
        <v>10</v>
      </c>
      <c r="D122" t="s">
        <v>21</v>
      </c>
      <c r="E122">
        <f t="shared" si="9"/>
        <v>6</v>
      </c>
      <c r="F122" t="str">
        <f t="shared" si="10"/>
        <v>Condiments</v>
      </c>
      <c r="I122" t="s">
        <v>19</v>
      </c>
      <c r="J122">
        <v>5</v>
      </c>
      <c r="K122">
        <v>10</v>
      </c>
      <c r="L122">
        <v>6</v>
      </c>
      <c r="M122" t="s">
        <v>21</v>
      </c>
      <c r="N122" t="s">
        <v>187</v>
      </c>
    </row>
    <row r="123" spans="2:19" x14ac:dyDescent="0.3">
      <c r="B123" t="s">
        <v>22</v>
      </c>
      <c r="C123">
        <v>1.5</v>
      </c>
      <c r="D123" t="s">
        <v>21</v>
      </c>
      <c r="E123">
        <f t="shared" si="9"/>
        <v>6</v>
      </c>
      <c r="F123" t="str">
        <f t="shared" si="10"/>
        <v>Condiments</v>
      </c>
      <c r="I123" t="s">
        <v>22</v>
      </c>
      <c r="J123">
        <v>6</v>
      </c>
      <c r="K123">
        <v>1.5</v>
      </c>
      <c r="L123">
        <v>6</v>
      </c>
      <c r="M123" t="s">
        <v>21</v>
      </c>
      <c r="N123" t="s">
        <v>187</v>
      </c>
    </row>
    <row r="124" spans="2:19" x14ac:dyDescent="0.3">
      <c r="B124" t="s">
        <v>23</v>
      </c>
      <c r="C124">
        <v>2</v>
      </c>
      <c r="D124" t="s">
        <v>21</v>
      </c>
      <c r="E124">
        <f t="shared" si="9"/>
        <v>6</v>
      </c>
      <c r="F124" t="str">
        <f t="shared" si="10"/>
        <v>Condiments</v>
      </c>
      <c r="I124" t="s">
        <v>23</v>
      </c>
      <c r="J124">
        <v>7</v>
      </c>
      <c r="K124">
        <v>2</v>
      </c>
      <c r="L124">
        <v>6</v>
      </c>
      <c r="M124" t="s">
        <v>21</v>
      </c>
      <c r="N124" t="s">
        <v>187</v>
      </c>
    </row>
    <row r="125" spans="2:19" x14ac:dyDescent="0.3">
      <c r="B125" t="s">
        <v>24</v>
      </c>
      <c r="C125">
        <v>500</v>
      </c>
      <c r="D125" t="s">
        <v>25</v>
      </c>
      <c r="E125">
        <f t="shared" si="9"/>
        <v>3</v>
      </c>
      <c r="F125" t="str">
        <f t="shared" si="10"/>
        <v>Oils &amp; Fats</v>
      </c>
      <c r="I125" t="s">
        <v>24</v>
      </c>
      <c r="J125">
        <v>8</v>
      </c>
      <c r="K125">
        <v>500</v>
      </c>
      <c r="L125">
        <v>3</v>
      </c>
      <c r="M125" t="s">
        <v>25</v>
      </c>
      <c r="N125" t="s">
        <v>186</v>
      </c>
    </row>
    <row r="126" spans="2:19" x14ac:dyDescent="0.3">
      <c r="B126" t="s">
        <v>26</v>
      </c>
      <c r="C126">
        <v>10</v>
      </c>
      <c r="D126" t="s">
        <v>299</v>
      </c>
      <c r="E126">
        <f t="shared" si="9"/>
        <v>7</v>
      </c>
      <c r="F126" t="str">
        <f t="shared" si="10"/>
        <v>Vegetables</v>
      </c>
      <c r="I126" t="s">
        <v>26</v>
      </c>
      <c r="J126">
        <v>9</v>
      </c>
      <c r="K126">
        <v>10</v>
      </c>
      <c r="L126">
        <v>7</v>
      </c>
      <c r="M126" t="s">
        <v>299</v>
      </c>
      <c r="N126" t="s">
        <v>180</v>
      </c>
    </row>
    <row r="127" spans="2:19" x14ac:dyDescent="0.3">
      <c r="B127" t="s">
        <v>65</v>
      </c>
      <c r="C127">
        <v>1</v>
      </c>
      <c r="D127" t="s">
        <v>300</v>
      </c>
      <c r="E127">
        <f t="shared" si="9"/>
        <v>10</v>
      </c>
      <c r="F127" t="str">
        <f t="shared" si="10"/>
        <v>Condiments</v>
      </c>
      <c r="I127" t="s">
        <v>65</v>
      </c>
      <c r="J127">
        <v>10</v>
      </c>
      <c r="K127">
        <v>1</v>
      </c>
      <c r="L127">
        <v>10</v>
      </c>
      <c r="M127" t="s">
        <v>300</v>
      </c>
      <c r="N127" t="s">
        <v>187</v>
      </c>
    </row>
    <row r="128" spans="2:19" x14ac:dyDescent="0.3">
      <c r="B128" t="s">
        <v>28</v>
      </c>
      <c r="C128">
        <v>10</v>
      </c>
      <c r="D128" t="s">
        <v>299</v>
      </c>
      <c r="E128">
        <f t="shared" si="9"/>
        <v>7</v>
      </c>
      <c r="F128" t="str">
        <f t="shared" si="10"/>
        <v>Meat</v>
      </c>
      <c r="I128" t="s">
        <v>28</v>
      </c>
      <c r="J128">
        <v>11</v>
      </c>
      <c r="K128">
        <v>10</v>
      </c>
      <c r="L128">
        <v>7</v>
      </c>
      <c r="M128" t="s">
        <v>299</v>
      </c>
      <c r="N128" t="s">
        <v>178</v>
      </c>
    </row>
    <row r="129" spans="2:14" x14ac:dyDescent="0.3">
      <c r="B129" t="s">
        <v>29</v>
      </c>
      <c r="C129">
        <v>3</v>
      </c>
      <c r="D129" t="s">
        <v>299</v>
      </c>
      <c r="E129">
        <f t="shared" si="9"/>
        <v>7</v>
      </c>
      <c r="F129" t="str">
        <f t="shared" si="10"/>
        <v>Fruits</v>
      </c>
      <c r="I129" t="s">
        <v>29</v>
      </c>
      <c r="J129">
        <v>12</v>
      </c>
      <c r="K129">
        <v>3</v>
      </c>
      <c r="L129">
        <v>7</v>
      </c>
      <c r="M129" t="s">
        <v>299</v>
      </c>
      <c r="N129" t="s">
        <v>181</v>
      </c>
    </row>
    <row r="130" spans="2:14" x14ac:dyDescent="0.3">
      <c r="B130" t="s">
        <v>30</v>
      </c>
      <c r="C130">
        <v>1.5</v>
      </c>
      <c r="D130" t="s">
        <v>36</v>
      </c>
      <c r="E130">
        <f t="shared" si="9"/>
        <v>5</v>
      </c>
      <c r="F130" t="str">
        <f t="shared" si="10"/>
        <v>Seasoning</v>
      </c>
      <c r="I130" t="s">
        <v>30</v>
      </c>
      <c r="J130">
        <v>13</v>
      </c>
      <c r="K130">
        <v>1.5</v>
      </c>
      <c r="L130">
        <v>5</v>
      </c>
      <c r="M130" t="s">
        <v>36</v>
      </c>
      <c r="N130" t="s">
        <v>190</v>
      </c>
    </row>
    <row r="131" spans="2:14" x14ac:dyDescent="0.3">
      <c r="B131" t="s">
        <v>31</v>
      </c>
      <c r="C131">
        <v>1</v>
      </c>
      <c r="D131" t="s">
        <v>36</v>
      </c>
      <c r="E131">
        <f t="shared" si="9"/>
        <v>5</v>
      </c>
      <c r="F131" t="str">
        <f t="shared" si="10"/>
        <v>Spices</v>
      </c>
      <c r="I131" t="s">
        <v>31</v>
      </c>
      <c r="J131">
        <v>14</v>
      </c>
      <c r="K131">
        <v>1</v>
      </c>
      <c r="L131">
        <v>5</v>
      </c>
      <c r="M131" t="s">
        <v>36</v>
      </c>
      <c r="N131" t="s">
        <v>185</v>
      </c>
    </row>
    <row r="132" spans="2:14" x14ac:dyDescent="0.3">
      <c r="B132" t="s">
        <v>33</v>
      </c>
      <c r="C132">
        <v>4</v>
      </c>
      <c r="D132" t="s">
        <v>299</v>
      </c>
      <c r="E132">
        <f t="shared" si="9"/>
        <v>7</v>
      </c>
      <c r="F132" t="str">
        <f t="shared" si="10"/>
        <v>Seafood</v>
      </c>
      <c r="I132" t="s">
        <v>33</v>
      </c>
      <c r="J132">
        <v>15</v>
      </c>
      <c r="K132">
        <v>4</v>
      </c>
      <c r="L132">
        <v>7</v>
      </c>
      <c r="M132" t="s">
        <v>299</v>
      </c>
      <c r="N132" t="s">
        <v>179</v>
      </c>
    </row>
    <row r="133" spans="2:14" x14ac:dyDescent="0.3">
      <c r="B133" t="s">
        <v>310</v>
      </c>
      <c r="C133">
        <v>2</v>
      </c>
      <c r="D133" t="s">
        <v>36</v>
      </c>
      <c r="E133">
        <f t="shared" si="9"/>
        <v>5</v>
      </c>
      <c r="F133" t="str">
        <f t="shared" si="10"/>
        <v>Spices</v>
      </c>
      <c r="I133" t="s">
        <v>310</v>
      </c>
      <c r="J133">
        <v>16</v>
      </c>
      <c r="K133">
        <v>2</v>
      </c>
      <c r="L133">
        <v>5</v>
      </c>
      <c r="M133" t="s">
        <v>36</v>
      </c>
      <c r="N133" t="s">
        <v>185</v>
      </c>
    </row>
    <row r="134" spans="2:14" x14ac:dyDescent="0.3">
      <c r="B134" t="s">
        <v>35</v>
      </c>
      <c r="C134">
        <v>1.5</v>
      </c>
      <c r="D134" t="s">
        <v>36</v>
      </c>
      <c r="E134">
        <f t="shared" si="9"/>
        <v>5</v>
      </c>
      <c r="F134" t="str">
        <f t="shared" si="10"/>
        <v>Spices</v>
      </c>
      <c r="I134" t="s">
        <v>35</v>
      </c>
      <c r="J134">
        <v>17</v>
      </c>
      <c r="K134">
        <v>1.5</v>
      </c>
      <c r="L134">
        <v>5</v>
      </c>
      <c r="M134" t="s">
        <v>36</v>
      </c>
      <c r="N134" t="s">
        <v>185</v>
      </c>
    </row>
    <row r="135" spans="2:14" x14ac:dyDescent="0.3">
      <c r="B135" t="s">
        <v>37</v>
      </c>
      <c r="C135">
        <v>250</v>
      </c>
      <c r="D135" t="s">
        <v>20</v>
      </c>
      <c r="E135">
        <f t="shared" si="9"/>
        <v>1</v>
      </c>
      <c r="F135" t="str">
        <f t="shared" si="10"/>
        <v>Vegetables</v>
      </c>
      <c r="I135" t="s">
        <v>37</v>
      </c>
      <c r="J135">
        <v>18</v>
      </c>
      <c r="K135">
        <v>250</v>
      </c>
      <c r="L135">
        <v>1</v>
      </c>
      <c r="M135" t="s">
        <v>20</v>
      </c>
      <c r="N135" t="s">
        <v>180</v>
      </c>
    </row>
    <row r="136" spans="2:14" x14ac:dyDescent="0.3">
      <c r="B136" t="s">
        <v>38</v>
      </c>
      <c r="C136">
        <v>4</v>
      </c>
      <c r="D136" t="s">
        <v>21</v>
      </c>
      <c r="E136">
        <f t="shared" si="9"/>
        <v>6</v>
      </c>
      <c r="F136" t="str">
        <f t="shared" si="10"/>
        <v>Condiments</v>
      </c>
      <c r="I136" t="s">
        <v>38</v>
      </c>
      <c r="J136">
        <v>19</v>
      </c>
      <c r="K136">
        <v>4</v>
      </c>
      <c r="L136">
        <v>6</v>
      </c>
      <c r="M136" t="s">
        <v>21</v>
      </c>
      <c r="N136" t="s">
        <v>187</v>
      </c>
    </row>
    <row r="137" spans="2:14" x14ac:dyDescent="0.3">
      <c r="B137" t="s">
        <v>39</v>
      </c>
      <c r="C137">
        <v>3</v>
      </c>
      <c r="D137" t="s">
        <v>21</v>
      </c>
      <c r="E137">
        <f t="shared" si="9"/>
        <v>6</v>
      </c>
      <c r="F137" t="str">
        <f t="shared" si="10"/>
        <v>Fruits</v>
      </c>
      <c r="I137" t="s">
        <v>39</v>
      </c>
      <c r="J137">
        <v>20</v>
      </c>
      <c r="K137">
        <v>3</v>
      </c>
      <c r="L137">
        <v>6</v>
      </c>
      <c r="M137" t="s">
        <v>21</v>
      </c>
      <c r="N137" t="s">
        <v>181</v>
      </c>
    </row>
    <row r="138" spans="2:14" x14ac:dyDescent="0.3">
      <c r="B138" t="s">
        <v>45</v>
      </c>
      <c r="C138">
        <v>300</v>
      </c>
      <c r="D138" t="s">
        <v>20</v>
      </c>
      <c r="E138">
        <f t="shared" si="9"/>
        <v>1</v>
      </c>
      <c r="F138" t="str">
        <f t="shared" si="10"/>
        <v>Grains</v>
      </c>
      <c r="I138" t="s">
        <v>45</v>
      </c>
      <c r="J138">
        <v>21</v>
      </c>
      <c r="K138">
        <v>300</v>
      </c>
      <c r="L138">
        <v>1</v>
      </c>
      <c r="M138" t="s">
        <v>20</v>
      </c>
      <c r="N138" t="s">
        <v>182</v>
      </c>
    </row>
    <row r="139" spans="2:14" x14ac:dyDescent="0.3">
      <c r="B139" t="s">
        <v>46</v>
      </c>
      <c r="C139">
        <v>75</v>
      </c>
      <c r="D139" t="s">
        <v>20</v>
      </c>
      <c r="E139">
        <f t="shared" si="9"/>
        <v>1</v>
      </c>
      <c r="F139" t="str">
        <f t="shared" si="10"/>
        <v>Dairy</v>
      </c>
      <c r="I139" t="s">
        <v>46</v>
      </c>
      <c r="J139">
        <v>22</v>
      </c>
      <c r="K139">
        <v>75</v>
      </c>
      <c r="L139">
        <v>1</v>
      </c>
      <c r="M139" t="s">
        <v>20</v>
      </c>
      <c r="N139" t="s">
        <v>183</v>
      </c>
    </row>
    <row r="140" spans="2:14" x14ac:dyDescent="0.3">
      <c r="B140" t="s">
        <v>47</v>
      </c>
      <c r="C140">
        <v>500</v>
      </c>
      <c r="D140" t="s">
        <v>25</v>
      </c>
      <c r="E140">
        <f t="shared" si="9"/>
        <v>3</v>
      </c>
      <c r="F140" t="str">
        <f t="shared" si="10"/>
        <v>Others</v>
      </c>
      <c r="I140" t="s">
        <v>47</v>
      </c>
      <c r="J140">
        <v>23</v>
      </c>
      <c r="K140">
        <v>500</v>
      </c>
      <c r="L140">
        <v>3</v>
      </c>
      <c r="M140" t="s">
        <v>25</v>
      </c>
      <c r="N140" t="s">
        <v>192</v>
      </c>
    </row>
    <row r="141" spans="2:14" x14ac:dyDescent="0.3">
      <c r="B141" t="s">
        <v>48</v>
      </c>
      <c r="C141">
        <v>30</v>
      </c>
      <c r="D141" t="s">
        <v>20</v>
      </c>
      <c r="E141">
        <f t="shared" si="9"/>
        <v>1</v>
      </c>
      <c r="F141" t="str">
        <f t="shared" si="10"/>
        <v>Herbs</v>
      </c>
      <c r="I141" t="s">
        <v>48</v>
      </c>
      <c r="J141">
        <v>24</v>
      </c>
      <c r="K141">
        <v>30</v>
      </c>
      <c r="L141">
        <v>1</v>
      </c>
      <c r="M141" t="s">
        <v>20</v>
      </c>
      <c r="N141" t="s">
        <v>184</v>
      </c>
    </row>
    <row r="142" spans="2:14" x14ac:dyDescent="0.3">
      <c r="B142" t="s">
        <v>49</v>
      </c>
      <c r="C142">
        <v>200</v>
      </c>
      <c r="D142" t="s">
        <v>20</v>
      </c>
      <c r="E142">
        <f t="shared" si="9"/>
        <v>1</v>
      </c>
      <c r="F142" t="str">
        <f t="shared" si="10"/>
        <v>Dairy</v>
      </c>
      <c r="I142" t="s">
        <v>49</v>
      </c>
      <c r="J142">
        <v>25</v>
      </c>
      <c r="K142">
        <v>200</v>
      </c>
      <c r="L142">
        <v>1</v>
      </c>
      <c r="M142" t="s">
        <v>20</v>
      </c>
      <c r="N142" t="s">
        <v>183</v>
      </c>
    </row>
    <row r="143" spans="2:14" x14ac:dyDescent="0.3">
      <c r="B143" t="s">
        <v>50</v>
      </c>
      <c r="C143">
        <v>15</v>
      </c>
      <c r="D143" t="s">
        <v>299</v>
      </c>
      <c r="E143">
        <f t="shared" si="9"/>
        <v>7</v>
      </c>
      <c r="F143" t="str">
        <f t="shared" si="10"/>
        <v>Others</v>
      </c>
      <c r="I143" t="s">
        <v>50</v>
      </c>
      <c r="J143">
        <v>26</v>
      </c>
      <c r="K143">
        <v>15</v>
      </c>
      <c r="L143">
        <v>7</v>
      </c>
      <c r="M143" t="s">
        <v>299</v>
      </c>
      <c r="N143" t="s">
        <v>192</v>
      </c>
    </row>
    <row r="144" spans="2:14" x14ac:dyDescent="0.3">
      <c r="B144" t="s">
        <v>51</v>
      </c>
      <c r="C144">
        <v>80</v>
      </c>
      <c r="D144" t="s">
        <v>20</v>
      </c>
      <c r="E144">
        <f t="shared" si="9"/>
        <v>1</v>
      </c>
      <c r="F144" t="str">
        <f t="shared" si="10"/>
        <v>Fruits</v>
      </c>
      <c r="I144" t="s">
        <v>51</v>
      </c>
      <c r="J144">
        <v>27</v>
      </c>
      <c r="K144">
        <v>80</v>
      </c>
      <c r="L144">
        <v>1</v>
      </c>
      <c r="M144" t="s">
        <v>20</v>
      </c>
      <c r="N144" t="s">
        <v>181</v>
      </c>
    </row>
    <row r="145" spans="2:14" x14ac:dyDescent="0.3">
      <c r="B145" t="s">
        <v>52</v>
      </c>
      <c r="C145">
        <v>100</v>
      </c>
      <c r="D145" t="s">
        <v>20</v>
      </c>
      <c r="E145">
        <f t="shared" si="9"/>
        <v>1</v>
      </c>
      <c r="F145" t="str">
        <f t="shared" si="10"/>
        <v>Nuts &amp; Seeds</v>
      </c>
      <c r="I145" t="s">
        <v>52</v>
      </c>
      <c r="J145">
        <v>28</v>
      </c>
      <c r="K145">
        <v>100</v>
      </c>
      <c r="L145">
        <v>1</v>
      </c>
      <c r="M145" t="s">
        <v>20</v>
      </c>
      <c r="N145" t="s">
        <v>191</v>
      </c>
    </row>
    <row r="146" spans="2:14" x14ac:dyDescent="0.3">
      <c r="B146" t="s">
        <v>53</v>
      </c>
      <c r="C146">
        <v>2</v>
      </c>
      <c r="D146" t="s">
        <v>21</v>
      </c>
      <c r="E146">
        <f t="shared" si="9"/>
        <v>6</v>
      </c>
      <c r="F146" t="str">
        <f t="shared" si="10"/>
        <v>Condiments</v>
      </c>
      <c r="I146" t="s">
        <v>53</v>
      </c>
      <c r="J146">
        <v>29</v>
      </c>
      <c r="K146">
        <v>2</v>
      </c>
      <c r="L146">
        <v>6</v>
      </c>
      <c r="M146" t="s">
        <v>21</v>
      </c>
      <c r="N146" t="s">
        <v>187</v>
      </c>
    </row>
    <row r="147" spans="2:14" x14ac:dyDescent="0.3">
      <c r="B147" t="s">
        <v>74</v>
      </c>
      <c r="C147">
        <v>12</v>
      </c>
      <c r="D147" t="s">
        <v>299</v>
      </c>
      <c r="E147">
        <f t="shared" si="9"/>
        <v>7</v>
      </c>
      <c r="F147" t="str">
        <f t="shared" si="10"/>
        <v>Vegetables</v>
      </c>
      <c r="I147" t="s">
        <v>74</v>
      </c>
      <c r="J147">
        <v>30</v>
      </c>
      <c r="K147">
        <v>12</v>
      </c>
      <c r="L147">
        <v>7</v>
      </c>
      <c r="M147" t="s">
        <v>299</v>
      </c>
      <c r="N147" t="s">
        <v>180</v>
      </c>
    </row>
    <row r="148" spans="2:14" x14ac:dyDescent="0.3">
      <c r="B148" t="s">
        <v>58</v>
      </c>
      <c r="C148">
        <v>4</v>
      </c>
      <c r="D148" t="s">
        <v>299</v>
      </c>
      <c r="E148">
        <f t="shared" si="9"/>
        <v>7</v>
      </c>
      <c r="F148" t="str">
        <f t="shared" si="10"/>
        <v>Vegetables</v>
      </c>
      <c r="I148" t="s">
        <v>58</v>
      </c>
      <c r="J148">
        <v>31</v>
      </c>
      <c r="K148">
        <v>4</v>
      </c>
      <c r="L148">
        <v>7</v>
      </c>
      <c r="M148" t="s">
        <v>299</v>
      </c>
      <c r="N148" t="s">
        <v>180</v>
      </c>
    </row>
    <row r="149" spans="2:14" x14ac:dyDescent="0.3">
      <c r="B149" t="s">
        <v>59</v>
      </c>
      <c r="C149">
        <v>2</v>
      </c>
      <c r="D149" t="s">
        <v>36</v>
      </c>
      <c r="E149">
        <f t="shared" si="9"/>
        <v>5</v>
      </c>
      <c r="F149" t="str">
        <f t="shared" si="10"/>
        <v>Herbs</v>
      </c>
      <c r="I149" t="s">
        <v>59</v>
      </c>
      <c r="J149">
        <v>32</v>
      </c>
      <c r="K149">
        <v>2</v>
      </c>
      <c r="L149">
        <v>5</v>
      </c>
      <c r="M149" t="s">
        <v>36</v>
      </c>
      <c r="N149" t="s">
        <v>184</v>
      </c>
    </row>
    <row r="150" spans="2:14" x14ac:dyDescent="0.3">
      <c r="B150" t="s">
        <v>60</v>
      </c>
      <c r="C150">
        <v>2</v>
      </c>
      <c r="D150" t="s">
        <v>299</v>
      </c>
      <c r="E150">
        <f t="shared" si="9"/>
        <v>7</v>
      </c>
      <c r="F150" t="str">
        <f t="shared" si="10"/>
        <v>Spices</v>
      </c>
      <c r="I150" t="s">
        <v>60</v>
      </c>
      <c r="J150">
        <v>33</v>
      </c>
      <c r="K150">
        <v>2</v>
      </c>
      <c r="L150">
        <v>7</v>
      </c>
      <c r="M150" t="s">
        <v>299</v>
      </c>
      <c r="N150" t="s">
        <v>185</v>
      </c>
    </row>
    <row r="151" spans="2:14" x14ac:dyDescent="0.3">
      <c r="B151" t="s">
        <v>73</v>
      </c>
      <c r="C151">
        <v>4</v>
      </c>
      <c r="D151" t="s">
        <v>299</v>
      </c>
      <c r="E151">
        <f t="shared" si="9"/>
        <v>7</v>
      </c>
      <c r="F151" t="str">
        <f t="shared" si="10"/>
        <v>Vegetables</v>
      </c>
      <c r="I151" t="s">
        <v>73</v>
      </c>
      <c r="J151">
        <v>34</v>
      </c>
      <c r="K151">
        <v>4</v>
      </c>
      <c r="L151">
        <v>7</v>
      </c>
      <c r="M151" t="s">
        <v>299</v>
      </c>
      <c r="N151" t="s">
        <v>180</v>
      </c>
    </row>
    <row r="152" spans="2:14" x14ac:dyDescent="0.3">
      <c r="B152" t="s">
        <v>64</v>
      </c>
      <c r="C152">
        <v>1</v>
      </c>
      <c r="D152" t="s">
        <v>36</v>
      </c>
      <c r="E152">
        <f t="shared" si="9"/>
        <v>5</v>
      </c>
      <c r="F152" t="str">
        <f t="shared" si="10"/>
        <v>Seasoning</v>
      </c>
      <c r="I152" t="s">
        <v>64</v>
      </c>
      <c r="J152">
        <v>35</v>
      </c>
      <c r="K152">
        <v>1</v>
      </c>
      <c r="L152">
        <v>5</v>
      </c>
      <c r="M152" t="s">
        <v>36</v>
      </c>
      <c r="N152" t="s">
        <v>190</v>
      </c>
    </row>
    <row r="153" spans="2:14" x14ac:dyDescent="0.3">
      <c r="B153" t="s">
        <v>66</v>
      </c>
      <c r="C153">
        <v>200</v>
      </c>
      <c r="D153" t="s">
        <v>20</v>
      </c>
      <c r="E153">
        <f t="shared" si="9"/>
        <v>1</v>
      </c>
      <c r="F153" t="str">
        <f t="shared" si="10"/>
        <v>Seafood</v>
      </c>
      <c r="I153" t="s">
        <v>66</v>
      </c>
      <c r="J153">
        <v>36</v>
      </c>
      <c r="K153">
        <v>200</v>
      </c>
      <c r="L153">
        <v>1</v>
      </c>
      <c r="M153" t="s">
        <v>20</v>
      </c>
      <c r="N153" t="s">
        <v>179</v>
      </c>
    </row>
    <row r="154" spans="2:14" x14ac:dyDescent="0.3">
      <c r="B154" t="s">
        <v>67</v>
      </c>
      <c r="C154">
        <v>1</v>
      </c>
      <c r="D154" t="s">
        <v>303</v>
      </c>
      <c r="E154">
        <f t="shared" si="9"/>
        <v>11</v>
      </c>
      <c r="F154" t="str">
        <f t="shared" si="10"/>
        <v>Herbs</v>
      </c>
      <c r="I154" t="s">
        <v>67</v>
      </c>
      <c r="J154">
        <v>37</v>
      </c>
      <c r="K154">
        <v>1</v>
      </c>
      <c r="L154">
        <v>11</v>
      </c>
      <c r="M154" t="s">
        <v>303</v>
      </c>
      <c r="N154" t="s">
        <v>184</v>
      </c>
    </row>
    <row r="155" spans="2:14" x14ac:dyDescent="0.3">
      <c r="B155" t="s">
        <v>68</v>
      </c>
      <c r="C155">
        <v>50</v>
      </c>
      <c r="D155" t="s">
        <v>20</v>
      </c>
      <c r="E155">
        <f t="shared" si="9"/>
        <v>1</v>
      </c>
      <c r="F155" t="str">
        <f t="shared" si="10"/>
        <v>Herbs</v>
      </c>
      <c r="I155" t="s">
        <v>68</v>
      </c>
      <c r="J155">
        <v>38</v>
      </c>
      <c r="K155">
        <v>50</v>
      </c>
      <c r="L155">
        <v>1</v>
      </c>
      <c r="M155" t="s">
        <v>20</v>
      </c>
      <c r="N155" t="s">
        <v>184</v>
      </c>
    </row>
    <row r="156" spans="2:14" x14ac:dyDescent="0.3">
      <c r="B156" t="s">
        <v>70</v>
      </c>
      <c r="C156">
        <v>200</v>
      </c>
      <c r="D156" t="s">
        <v>25</v>
      </c>
      <c r="E156">
        <f t="shared" si="9"/>
        <v>3</v>
      </c>
      <c r="F156" t="str">
        <f t="shared" si="10"/>
        <v>Dairy</v>
      </c>
      <c r="I156" t="s">
        <v>70</v>
      </c>
      <c r="J156">
        <v>39</v>
      </c>
      <c r="K156">
        <v>200</v>
      </c>
      <c r="L156">
        <v>3</v>
      </c>
      <c r="M156" t="s">
        <v>25</v>
      </c>
      <c r="N156" t="s">
        <v>183</v>
      </c>
    </row>
    <row r="157" spans="2:14" x14ac:dyDescent="0.3">
      <c r="B157" t="s">
        <v>71</v>
      </c>
      <c r="C157">
        <v>80</v>
      </c>
      <c r="D157" t="s">
        <v>20</v>
      </c>
      <c r="E157">
        <f t="shared" si="9"/>
        <v>1</v>
      </c>
      <c r="F157" t="str">
        <f t="shared" si="10"/>
        <v>Dairy</v>
      </c>
      <c r="I157" t="s">
        <v>71</v>
      </c>
      <c r="J157">
        <v>40</v>
      </c>
      <c r="K157">
        <v>80</v>
      </c>
      <c r="L157">
        <v>1</v>
      </c>
      <c r="M157" t="s">
        <v>20</v>
      </c>
      <c r="N157" t="s">
        <v>183</v>
      </c>
    </row>
    <row r="158" spans="2:14" x14ac:dyDescent="0.3">
      <c r="B158" t="s">
        <v>72</v>
      </c>
      <c r="C158">
        <v>6</v>
      </c>
      <c r="D158" t="s">
        <v>299</v>
      </c>
      <c r="E158">
        <f t="shared" si="9"/>
        <v>7</v>
      </c>
      <c r="F158" t="str">
        <f t="shared" si="10"/>
        <v>Vegetables</v>
      </c>
      <c r="I158" t="s">
        <v>72</v>
      </c>
      <c r="J158">
        <v>41</v>
      </c>
      <c r="K158">
        <v>6</v>
      </c>
      <c r="L158">
        <v>7</v>
      </c>
      <c r="M158" t="s">
        <v>299</v>
      </c>
      <c r="N158" t="s">
        <v>180</v>
      </c>
    </row>
    <row r="159" spans="2:14" x14ac:dyDescent="0.3">
      <c r="B159" t="s">
        <v>84</v>
      </c>
      <c r="C159">
        <v>4</v>
      </c>
      <c r="D159" t="s">
        <v>299</v>
      </c>
      <c r="E159">
        <f t="shared" si="9"/>
        <v>7</v>
      </c>
      <c r="F159" t="str">
        <f t="shared" si="10"/>
        <v>Fruits</v>
      </c>
      <c r="I159" t="s">
        <v>84</v>
      </c>
      <c r="J159">
        <v>42</v>
      </c>
      <c r="K159">
        <v>4</v>
      </c>
      <c r="L159">
        <v>7</v>
      </c>
      <c r="M159" t="s">
        <v>299</v>
      </c>
      <c r="N159" t="s">
        <v>181</v>
      </c>
    </row>
    <row r="160" spans="2:14" x14ac:dyDescent="0.3">
      <c r="B160" t="s">
        <v>85</v>
      </c>
      <c r="C160">
        <v>500</v>
      </c>
      <c r="D160" t="s">
        <v>20</v>
      </c>
      <c r="E160">
        <f t="shared" si="9"/>
        <v>1</v>
      </c>
      <c r="F160" t="str">
        <f t="shared" si="10"/>
        <v>Grains</v>
      </c>
      <c r="I160" t="s">
        <v>85</v>
      </c>
      <c r="J160">
        <v>43</v>
      </c>
      <c r="K160">
        <v>500</v>
      </c>
      <c r="L160">
        <v>1</v>
      </c>
      <c r="M160" t="s">
        <v>20</v>
      </c>
      <c r="N160" t="s">
        <v>182</v>
      </c>
    </row>
    <row r="161" spans="2:14" x14ac:dyDescent="0.3">
      <c r="B161" t="s">
        <v>86</v>
      </c>
      <c r="C161">
        <v>1</v>
      </c>
      <c r="D161" t="s">
        <v>63</v>
      </c>
      <c r="E161">
        <f t="shared" si="9"/>
        <v>2</v>
      </c>
      <c r="F161" t="str">
        <f t="shared" si="10"/>
        <v>Condiments</v>
      </c>
      <c r="I161" t="s">
        <v>86</v>
      </c>
      <c r="J161">
        <v>44</v>
      </c>
      <c r="K161">
        <v>1</v>
      </c>
      <c r="L161">
        <v>2</v>
      </c>
      <c r="M161" t="s">
        <v>63</v>
      </c>
      <c r="N161" t="s">
        <v>187</v>
      </c>
    </row>
    <row r="162" spans="2:14" x14ac:dyDescent="0.3">
      <c r="B162" t="s">
        <v>87</v>
      </c>
      <c r="C162">
        <v>250</v>
      </c>
      <c r="D162" t="s">
        <v>20</v>
      </c>
      <c r="E162">
        <f t="shared" si="9"/>
        <v>1</v>
      </c>
      <c r="F162" t="str">
        <f t="shared" si="10"/>
        <v>Dairy</v>
      </c>
      <c r="I162" t="s">
        <v>87</v>
      </c>
      <c r="J162">
        <v>45</v>
      </c>
      <c r="K162">
        <v>250</v>
      </c>
      <c r="L162">
        <v>1</v>
      </c>
      <c r="M162" t="s">
        <v>20</v>
      </c>
      <c r="N162" t="s">
        <v>183</v>
      </c>
    </row>
    <row r="163" spans="2:14" x14ac:dyDescent="0.3">
      <c r="B163" t="s">
        <v>88</v>
      </c>
      <c r="C163">
        <v>6</v>
      </c>
      <c r="D163" t="s">
        <v>299</v>
      </c>
      <c r="E163">
        <f t="shared" si="9"/>
        <v>7</v>
      </c>
      <c r="F163" t="str">
        <f t="shared" si="10"/>
        <v>Dairy</v>
      </c>
      <c r="I163" t="s">
        <v>88</v>
      </c>
      <c r="J163">
        <v>46</v>
      </c>
      <c r="K163">
        <v>6</v>
      </c>
      <c r="L163">
        <v>7</v>
      </c>
      <c r="M163" t="s">
        <v>299</v>
      </c>
      <c r="N163" t="s">
        <v>183</v>
      </c>
    </row>
    <row r="164" spans="2:14" x14ac:dyDescent="0.3">
      <c r="B164" t="s">
        <v>89</v>
      </c>
      <c r="C164">
        <v>2</v>
      </c>
      <c r="D164" t="s">
        <v>36</v>
      </c>
      <c r="E164">
        <f t="shared" si="9"/>
        <v>5</v>
      </c>
      <c r="F164" t="str">
        <f t="shared" si="10"/>
        <v>Condiments</v>
      </c>
      <c r="I164" t="s">
        <v>89</v>
      </c>
      <c r="J164">
        <v>47</v>
      </c>
      <c r="K164">
        <v>2</v>
      </c>
      <c r="L164">
        <v>5</v>
      </c>
      <c r="M164" t="s">
        <v>36</v>
      </c>
      <c r="N164" t="s">
        <v>187</v>
      </c>
    </row>
    <row r="165" spans="2:14" x14ac:dyDescent="0.3">
      <c r="B165" t="s">
        <v>99</v>
      </c>
      <c r="C165">
        <v>1</v>
      </c>
      <c r="D165" t="s">
        <v>36</v>
      </c>
      <c r="E165">
        <f t="shared" si="9"/>
        <v>5</v>
      </c>
      <c r="F165" t="str">
        <f t="shared" si="10"/>
        <v>Condiments</v>
      </c>
      <c r="I165" t="s">
        <v>99</v>
      </c>
      <c r="J165">
        <v>48</v>
      </c>
      <c r="K165">
        <v>1</v>
      </c>
      <c r="L165">
        <v>5</v>
      </c>
      <c r="M165" t="s">
        <v>36</v>
      </c>
      <c r="N165" t="s">
        <v>187</v>
      </c>
    </row>
    <row r="166" spans="2:14" x14ac:dyDescent="0.3">
      <c r="B166" t="s">
        <v>96</v>
      </c>
      <c r="C166">
        <v>200</v>
      </c>
      <c r="D166" t="s">
        <v>20</v>
      </c>
      <c r="E166">
        <f t="shared" si="9"/>
        <v>1</v>
      </c>
      <c r="F166" t="str">
        <f t="shared" si="10"/>
        <v>Grains</v>
      </c>
      <c r="I166" t="s">
        <v>96</v>
      </c>
      <c r="J166">
        <v>49</v>
      </c>
      <c r="K166">
        <v>200</v>
      </c>
      <c r="L166">
        <v>1</v>
      </c>
      <c r="M166" t="s">
        <v>20</v>
      </c>
      <c r="N166" t="s">
        <v>182</v>
      </c>
    </row>
    <row r="167" spans="2:14" x14ac:dyDescent="0.3">
      <c r="B167" t="s">
        <v>97</v>
      </c>
      <c r="C167">
        <v>300</v>
      </c>
      <c r="D167" t="s">
        <v>20</v>
      </c>
      <c r="E167">
        <f t="shared" si="9"/>
        <v>1</v>
      </c>
      <c r="F167" t="str">
        <f t="shared" si="10"/>
        <v>Grains</v>
      </c>
      <c r="I167" t="s">
        <v>97</v>
      </c>
      <c r="J167">
        <v>50</v>
      </c>
      <c r="K167">
        <v>300</v>
      </c>
      <c r="L167">
        <v>1</v>
      </c>
      <c r="M167" t="s">
        <v>20</v>
      </c>
      <c r="N167" t="s">
        <v>182</v>
      </c>
    </row>
    <row r="168" spans="2:14" x14ac:dyDescent="0.3">
      <c r="B168" t="s">
        <v>98</v>
      </c>
      <c r="C168">
        <v>1.5</v>
      </c>
      <c r="D168" t="s">
        <v>36</v>
      </c>
      <c r="E168">
        <f t="shared" si="9"/>
        <v>5</v>
      </c>
      <c r="F168" t="str">
        <f t="shared" si="10"/>
        <v>Spices</v>
      </c>
      <c r="I168" t="s">
        <v>98</v>
      </c>
      <c r="J168">
        <v>51</v>
      </c>
      <c r="K168">
        <v>1.5</v>
      </c>
      <c r="L168">
        <v>5</v>
      </c>
      <c r="M168" t="s">
        <v>36</v>
      </c>
      <c r="N168" t="s">
        <v>185</v>
      </c>
    </row>
    <row r="169" spans="2:14" x14ac:dyDescent="0.3">
      <c r="B169" t="s">
        <v>100</v>
      </c>
      <c r="C169">
        <v>2</v>
      </c>
      <c r="D169" t="s">
        <v>21</v>
      </c>
      <c r="E169">
        <f t="shared" si="9"/>
        <v>6</v>
      </c>
      <c r="F169" t="str">
        <f t="shared" si="10"/>
        <v>Condiments</v>
      </c>
      <c r="I169" t="s">
        <v>100</v>
      </c>
      <c r="J169">
        <v>52</v>
      </c>
      <c r="K169">
        <v>2</v>
      </c>
      <c r="L169">
        <v>6</v>
      </c>
      <c r="M169" t="s">
        <v>21</v>
      </c>
      <c r="N169" t="s">
        <v>187</v>
      </c>
    </row>
    <row r="170" spans="2:14" x14ac:dyDescent="0.3">
      <c r="B170" t="s">
        <v>101</v>
      </c>
      <c r="C170">
        <v>300</v>
      </c>
      <c r="D170" t="s">
        <v>25</v>
      </c>
      <c r="E170">
        <f t="shared" si="9"/>
        <v>3</v>
      </c>
      <c r="F170" t="str">
        <f t="shared" si="10"/>
        <v>Dairy</v>
      </c>
      <c r="I170" t="s">
        <v>101</v>
      </c>
      <c r="J170">
        <v>53</v>
      </c>
      <c r="K170">
        <v>300</v>
      </c>
      <c r="L170">
        <v>3</v>
      </c>
      <c r="M170" t="s">
        <v>25</v>
      </c>
      <c r="N170" t="s">
        <v>183</v>
      </c>
    </row>
    <row r="171" spans="2:14" x14ac:dyDescent="0.3">
      <c r="B171" t="s">
        <v>102</v>
      </c>
      <c r="C171">
        <v>150</v>
      </c>
      <c r="D171" t="s">
        <v>20</v>
      </c>
      <c r="E171">
        <f t="shared" si="9"/>
        <v>1</v>
      </c>
      <c r="F171" t="str">
        <f t="shared" si="10"/>
        <v>Fruits</v>
      </c>
      <c r="I171" t="s">
        <v>102</v>
      </c>
      <c r="J171">
        <v>54</v>
      </c>
      <c r="K171">
        <v>150</v>
      </c>
      <c r="L171">
        <v>1</v>
      </c>
      <c r="M171" t="s">
        <v>20</v>
      </c>
      <c r="N171" t="s">
        <v>181</v>
      </c>
    </row>
    <row r="172" spans="2:14" x14ac:dyDescent="0.3">
      <c r="B172" t="s">
        <v>109</v>
      </c>
      <c r="C172">
        <v>40</v>
      </c>
      <c r="D172" t="s">
        <v>20</v>
      </c>
      <c r="E172">
        <f t="shared" si="9"/>
        <v>1</v>
      </c>
      <c r="F172" t="str">
        <f t="shared" si="10"/>
        <v>Vegetables</v>
      </c>
      <c r="I172" t="s">
        <v>109</v>
      </c>
      <c r="J172">
        <v>55</v>
      </c>
      <c r="K172">
        <v>40</v>
      </c>
      <c r="L172">
        <v>1</v>
      </c>
      <c r="M172" t="s">
        <v>20</v>
      </c>
      <c r="N172" t="s">
        <v>180</v>
      </c>
    </row>
    <row r="173" spans="2:14" x14ac:dyDescent="0.3">
      <c r="B173" t="s">
        <v>111</v>
      </c>
      <c r="C173">
        <v>3</v>
      </c>
      <c r="D173" t="s">
        <v>299</v>
      </c>
      <c r="E173">
        <f t="shared" si="9"/>
        <v>7</v>
      </c>
      <c r="F173" t="str">
        <f t="shared" si="10"/>
        <v>Vegetables</v>
      </c>
      <c r="I173" t="s">
        <v>111</v>
      </c>
      <c r="J173">
        <v>56</v>
      </c>
      <c r="K173">
        <v>3</v>
      </c>
      <c r="L173">
        <v>7</v>
      </c>
      <c r="M173" t="s">
        <v>299</v>
      </c>
      <c r="N173" t="s">
        <v>180</v>
      </c>
    </row>
    <row r="174" spans="2:14" x14ac:dyDescent="0.3">
      <c r="B174" t="s">
        <v>112</v>
      </c>
      <c r="C174">
        <v>2</v>
      </c>
      <c r="D174" t="s">
        <v>299</v>
      </c>
      <c r="E174">
        <f t="shared" si="9"/>
        <v>7</v>
      </c>
      <c r="F174" t="str">
        <f t="shared" si="10"/>
        <v>Vegetables</v>
      </c>
      <c r="I174" t="s">
        <v>112</v>
      </c>
      <c r="J174">
        <v>57</v>
      </c>
      <c r="K174">
        <v>2</v>
      </c>
      <c r="L174">
        <v>7</v>
      </c>
      <c r="M174" t="s">
        <v>299</v>
      </c>
      <c r="N174" t="s">
        <v>180</v>
      </c>
    </row>
    <row r="175" spans="2:14" x14ac:dyDescent="0.3">
      <c r="B175" t="s">
        <v>113</v>
      </c>
      <c r="C175">
        <v>6</v>
      </c>
      <c r="D175" t="s">
        <v>299</v>
      </c>
      <c r="E175">
        <f t="shared" si="9"/>
        <v>7</v>
      </c>
      <c r="F175" t="str">
        <f t="shared" si="10"/>
        <v>Vegetables</v>
      </c>
      <c r="I175" t="s">
        <v>113</v>
      </c>
      <c r="J175">
        <v>58</v>
      </c>
      <c r="K175">
        <v>6</v>
      </c>
      <c r="L175">
        <v>7</v>
      </c>
      <c r="M175" t="s">
        <v>299</v>
      </c>
      <c r="N175" t="s">
        <v>180</v>
      </c>
    </row>
    <row r="176" spans="2:14" x14ac:dyDescent="0.3">
      <c r="B176" t="s">
        <v>114</v>
      </c>
      <c r="C176">
        <v>3</v>
      </c>
      <c r="D176" t="s">
        <v>299</v>
      </c>
      <c r="E176">
        <f t="shared" si="9"/>
        <v>7</v>
      </c>
      <c r="F176" t="str">
        <f t="shared" si="10"/>
        <v>Fruits</v>
      </c>
      <c r="I176" t="s">
        <v>114</v>
      </c>
      <c r="J176">
        <v>59</v>
      </c>
      <c r="K176">
        <v>3</v>
      </c>
      <c r="L176">
        <v>7</v>
      </c>
      <c r="M176" t="s">
        <v>299</v>
      </c>
      <c r="N176" t="s">
        <v>181</v>
      </c>
    </row>
    <row r="177" spans="2:14" x14ac:dyDescent="0.3">
      <c r="B177" t="s">
        <v>115</v>
      </c>
      <c r="C177">
        <v>2</v>
      </c>
      <c r="D177" t="s">
        <v>21</v>
      </c>
      <c r="E177">
        <f t="shared" si="9"/>
        <v>6</v>
      </c>
      <c r="F177" t="str">
        <f t="shared" si="10"/>
        <v>Condiments</v>
      </c>
      <c r="I177" t="s">
        <v>115</v>
      </c>
      <c r="J177">
        <v>60</v>
      </c>
      <c r="K177">
        <v>2</v>
      </c>
      <c r="L177">
        <v>6</v>
      </c>
      <c r="M177" t="s">
        <v>21</v>
      </c>
      <c r="N177" t="s">
        <v>187</v>
      </c>
    </row>
    <row r="178" spans="2:14" x14ac:dyDescent="0.3">
      <c r="B178" t="s">
        <v>116</v>
      </c>
      <c r="C178">
        <v>3</v>
      </c>
      <c r="D178" t="s">
        <v>21</v>
      </c>
      <c r="E178">
        <f t="shared" si="9"/>
        <v>6</v>
      </c>
      <c r="F178" t="str">
        <f t="shared" si="10"/>
        <v>Condiments</v>
      </c>
      <c r="I178" t="s">
        <v>116</v>
      </c>
      <c r="J178">
        <v>61</v>
      </c>
      <c r="K178">
        <v>3</v>
      </c>
      <c r="L178">
        <v>6</v>
      </c>
      <c r="M178" t="s">
        <v>21</v>
      </c>
      <c r="N178" t="s">
        <v>187</v>
      </c>
    </row>
    <row r="179" spans="2:14" x14ac:dyDescent="0.3">
      <c r="B179" t="s">
        <v>189</v>
      </c>
      <c r="C179">
        <v>2</v>
      </c>
      <c r="D179" t="s">
        <v>36</v>
      </c>
      <c r="E179">
        <f t="shared" si="9"/>
        <v>5</v>
      </c>
      <c r="F179" t="str">
        <f t="shared" si="10"/>
        <v>Condiments</v>
      </c>
      <c r="I179" t="s">
        <v>189</v>
      </c>
      <c r="J179">
        <v>62</v>
      </c>
      <c r="K179">
        <v>2</v>
      </c>
      <c r="L179">
        <v>5</v>
      </c>
      <c r="M179" t="s">
        <v>36</v>
      </c>
      <c r="N179" t="s">
        <v>187</v>
      </c>
    </row>
    <row r="180" spans="2:14" x14ac:dyDescent="0.3">
      <c r="B180" t="s">
        <v>121</v>
      </c>
      <c r="C180">
        <v>2</v>
      </c>
      <c r="D180" t="s">
        <v>63</v>
      </c>
      <c r="E180">
        <f t="shared" si="9"/>
        <v>2</v>
      </c>
      <c r="F180" t="str">
        <f t="shared" si="10"/>
        <v>Meat</v>
      </c>
      <c r="I180" t="s">
        <v>121</v>
      </c>
      <c r="J180">
        <v>63</v>
      </c>
      <c r="K180">
        <v>2</v>
      </c>
      <c r="L180">
        <v>2</v>
      </c>
      <c r="M180" t="s">
        <v>63</v>
      </c>
      <c r="N180" t="s">
        <v>178</v>
      </c>
    </row>
    <row r="181" spans="2:14" x14ac:dyDescent="0.3">
      <c r="B181" t="s">
        <v>122</v>
      </c>
      <c r="C181">
        <v>800</v>
      </c>
      <c r="D181" t="s">
        <v>25</v>
      </c>
      <c r="E181">
        <f t="shared" si="9"/>
        <v>3</v>
      </c>
      <c r="F181" t="str">
        <f t="shared" si="10"/>
        <v>Condiments</v>
      </c>
      <c r="I181" t="s">
        <v>122</v>
      </c>
      <c r="J181">
        <v>64</v>
      </c>
      <c r="K181">
        <v>800</v>
      </c>
      <c r="L181">
        <v>3</v>
      </c>
      <c r="M181" t="s">
        <v>25</v>
      </c>
      <c r="N181" t="s">
        <v>187</v>
      </c>
    </row>
    <row r="182" spans="2:14" x14ac:dyDescent="0.3">
      <c r="B182" t="s">
        <v>123</v>
      </c>
      <c r="C182">
        <v>3</v>
      </c>
      <c r="D182" t="s">
        <v>21</v>
      </c>
      <c r="E182">
        <f t="shared" si="9"/>
        <v>6</v>
      </c>
      <c r="F182" t="str">
        <f t="shared" si="10"/>
        <v>Condiments</v>
      </c>
      <c r="I182" t="s">
        <v>123</v>
      </c>
      <c r="J182">
        <v>65</v>
      </c>
      <c r="K182">
        <v>3</v>
      </c>
      <c r="L182">
        <v>6</v>
      </c>
      <c r="M182" t="s">
        <v>21</v>
      </c>
      <c r="N182" t="s">
        <v>187</v>
      </c>
    </row>
    <row r="183" spans="2:14" x14ac:dyDescent="0.3">
      <c r="B183" t="s">
        <v>124</v>
      </c>
      <c r="C183">
        <v>2</v>
      </c>
      <c r="D183" t="s">
        <v>300</v>
      </c>
      <c r="E183">
        <f t="shared" ref="E183:E200" si="11">VLOOKUP(D183,$U$32:$V$42,2,FALSE)</f>
        <v>10</v>
      </c>
      <c r="F183" t="str">
        <f t="shared" ref="F183:F200" si="12">VLOOKUP(B183,$K$32:$L$115,2,FALSE)</f>
        <v>Condiments</v>
      </c>
      <c r="I183" t="s">
        <v>124</v>
      </c>
      <c r="J183">
        <v>66</v>
      </c>
      <c r="K183">
        <v>2</v>
      </c>
      <c r="L183">
        <v>10</v>
      </c>
      <c r="M183" t="s">
        <v>300</v>
      </c>
      <c r="N183" t="s">
        <v>187</v>
      </c>
    </row>
    <row r="184" spans="2:14" x14ac:dyDescent="0.3">
      <c r="B184" t="s">
        <v>125</v>
      </c>
      <c r="C184">
        <v>100</v>
      </c>
      <c r="D184" t="s">
        <v>20</v>
      </c>
      <c r="E184">
        <f t="shared" si="11"/>
        <v>1</v>
      </c>
      <c r="F184" t="str">
        <f t="shared" si="12"/>
        <v>Dairy</v>
      </c>
      <c r="I184" t="s">
        <v>125</v>
      </c>
      <c r="J184">
        <v>67</v>
      </c>
      <c r="K184">
        <v>100</v>
      </c>
      <c r="L184">
        <v>1</v>
      </c>
      <c r="M184" t="s">
        <v>20</v>
      </c>
      <c r="N184" t="s">
        <v>183</v>
      </c>
    </row>
    <row r="185" spans="2:14" x14ac:dyDescent="0.3">
      <c r="B185" t="s">
        <v>126</v>
      </c>
      <c r="C185">
        <v>30</v>
      </c>
      <c r="D185" t="s">
        <v>20</v>
      </c>
      <c r="E185">
        <f t="shared" si="11"/>
        <v>1</v>
      </c>
      <c r="F185" t="str">
        <f t="shared" si="12"/>
        <v>Herbs</v>
      </c>
      <c r="I185" t="s">
        <v>126</v>
      </c>
      <c r="J185">
        <v>68</v>
      </c>
      <c r="K185">
        <v>30</v>
      </c>
      <c r="L185">
        <v>1</v>
      </c>
      <c r="M185" t="s">
        <v>20</v>
      </c>
      <c r="N185" t="s">
        <v>184</v>
      </c>
    </row>
    <row r="186" spans="2:14" x14ac:dyDescent="0.3">
      <c r="B186" t="s">
        <v>127</v>
      </c>
      <c r="C186">
        <v>30</v>
      </c>
      <c r="D186" t="s">
        <v>20</v>
      </c>
      <c r="E186">
        <f t="shared" si="11"/>
        <v>1</v>
      </c>
      <c r="F186" t="str">
        <f t="shared" si="12"/>
        <v>Herbs</v>
      </c>
      <c r="I186" t="s">
        <v>127</v>
      </c>
      <c r="J186">
        <v>69</v>
      </c>
      <c r="K186">
        <v>30</v>
      </c>
      <c r="L186">
        <v>1</v>
      </c>
      <c r="M186" t="s">
        <v>20</v>
      </c>
      <c r="N186" t="s">
        <v>184</v>
      </c>
    </row>
    <row r="187" spans="2:14" x14ac:dyDescent="0.3">
      <c r="B187" t="s">
        <v>128</v>
      </c>
      <c r="C187">
        <v>30</v>
      </c>
      <c r="D187" t="s">
        <v>20</v>
      </c>
      <c r="E187">
        <f t="shared" si="11"/>
        <v>1</v>
      </c>
      <c r="F187" t="str">
        <f t="shared" si="12"/>
        <v>Herbs</v>
      </c>
      <c r="I187" t="s">
        <v>128</v>
      </c>
      <c r="J187">
        <v>70</v>
      </c>
      <c r="K187">
        <v>30</v>
      </c>
      <c r="L187">
        <v>1</v>
      </c>
      <c r="M187" t="s">
        <v>20</v>
      </c>
      <c r="N187" t="s">
        <v>184</v>
      </c>
    </row>
    <row r="188" spans="2:14" x14ac:dyDescent="0.3">
      <c r="B188" t="s">
        <v>133</v>
      </c>
      <c r="C188">
        <v>2</v>
      </c>
      <c r="D188" t="s">
        <v>299</v>
      </c>
      <c r="E188">
        <f t="shared" si="11"/>
        <v>7</v>
      </c>
      <c r="F188" t="str">
        <f t="shared" si="12"/>
        <v>Vegetables</v>
      </c>
      <c r="I188" t="s">
        <v>133</v>
      </c>
      <c r="J188">
        <v>71</v>
      </c>
      <c r="K188">
        <v>2</v>
      </c>
      <c r="L188">
        <v>7</v>
      </c>
      <c r="M188" t="s">
        <v>299</v>
      </c>
      <c r="N188" t="s">
        <v>180</v>
      </c>
    </row>
    <row r="189" spans="2:14" x14ac:dyDescent="0.3">
      <c r="B189" t="s">
        <v>134</v>
      </c>
      <c r="C189">
        <v>1.5</v>
      </c>
      <c r="D189" t="s">
        <v>36</v>
      </c>
      <c r="E189">
        <f t="shared" si="11"/>
        <v>5</v>
      </c>
      <c r="F189" t="str">
        <f t="shared" si="12"/>
        <v>Spices</v>
      </c>
      <c r="I189" t="s">
        <v>134</v>
      </c>
      <c r="J189">
        <v>72</v>
      </c>
      <c r="K189">
        <v>1.5</v>
      </c>
      <c r="L189">
        <v>5</v>
      </c>
      <c r="M189" t="s">
        <v>36</v>
      </c>
      <c r="N189" t="s">
        <v>185</v>
      </c>
    </row>
    <row r="190" spans="2:14" x14ac:dyDescent="0.3">
      <c r="B190" t="s">
        <v>135</v>
      </c>
      <c r="C190">
        <v>1</v>
      </c>
      <c r="D190" t="s">
        <v>36</v>
      </c>
      <c r="E190">
        <f t="shared" si="11"/>
        <v>5</v>
      </c>
      <c r="F190" t="str">
        <f t="shared" si="12"/>
        <v>Spices</v>
      </c>
      <c r="I190" t="s">
        <v>135</v>
      </c>
      <c r="J190">
        <v>73</v>
      </c>
      <c r="K190">
        <v>1</v>
      </c>
      <c r="L190">
        <v>5</v>
      </c>
      <c r="M190" t="s">
        <v>36</v>
      </c>
      <c r="N190" t="s">
        <v>185</v>
      </c>
    </row>
    <row r="191" spans="2:14" x14ac:dyDescent="0.3">
      <c r="B191" t="s">
        <v>136</v>
      </c>
      <c r="C191">
        <v>1</v>
      </c>
      <c r="D191" t="s">
        <v>36</v>
      </c>
      <c r="E191">
        <f t="shared" si="11"/>
        <v>5</v>
      </c>
      <c r="F191" t="str">
        <f t="shared" si="12"/>
        <v>Seasoning</v>
      </c>
      <c r="I191" t="s">
        <v>136</v>
      </c>
      <c r="J191">
        <v>74</v>
      </c>
      <c r="K191">
        <v>1</v>
      </c>
      <c r="L191">
        <v>5</v>
      </c>
      <c r="M191" t="s">
        <v>36</v>
      </c>
      <c r="N191" t="s">
        <v>190</v>
      </c>
    </row>
    <row r="192" spans="2:14" x14ac:dyDescent="0.3">
      <c r="B192" t="s">
        <v>142</v>
      </c>
      <c r="C192">
        <v>30</v>
      </c>
      <c r="D192" t="s">
        <v>20</v>
      </c>
      <c r="E192">
        <f t="shared" si="11"/>
        <v>1</v>
      </c>
      <c r="F192" t="str">
        <f t="shared" si="12"/>
        <v>Vegetables</v>
      </c>
      <c r="I192" t="s">
        <v>142</v>
      </c>
      <c r="J192">
        <v>75</v>
      </c>
      <c r="K192">
        <v>30</v>
      </c>
      <c r="L192">
        <v>1</v>
      </c>
      <c r="M192" t="s">
        <v>20</v>
      </c>
      <c r="N192" t="s">
        <v>180</v>
      </c>
    </row>
    <row r="193" spans="2:14" x14ac:dyDescent="0.3">
      <c r="B193" t="s">
        <v>143</v>
      </c>
      <c r="C193">
        <v>250</v>
      </c>
      <c r="D193" t="s">
        <v>20</v>
      </c>
      <c r="E193">
        <f t="shared" si="11"/>
        <v>1</v>
      </c>
      <c r="F193" t="str">
        <f t="shared" si="12"/>
        <v>Vegetables</v>
      </c>
      <c r="I193" t="s">
        <v>143</v>
      </c>
      <c r="J193">
        <v>76</v>
      </c>
      <c r="K193">
        <v>250</v>
      </c>
      <c r="L193">
        <v>1</v>
      </c>
      <c r="M193" t="s">
        <v>20</v>
      </c>
      <c r="N193" t="s">
        <v>180</v>
      </c>
    </row>
    <row r="194" spans="2:14" x14ac:dyDescent="0.3">
      <c r="B194" t="s">
        <v>144</v>
      </c>
      <c r="C194">
        <v>3</v>
      </c>
      <c r="D194" t="s">
        <v>299</v>
      </c>
      <c r="E194">
        <f t="shared" si="11"/>
        <v>7</v>
      </c>
      <c r="F194" t="str">
        <f t="shared" si="12"/>
        <v>Vegetables</v>
      </c>
      <c r="I194" t="s">
        <v>144</v>
      </c>
      <c r="J194">
        <v>77</v>
      </c>
      <c r="K194">
        <v>3</v>
      </c>
      <c r="L194">
        <v>7</v>
      </c>
      <c r="M194" t="s">
        <v>299</v>
      </c>
      <c r="N194" t="s">
        <v>180</v>
      </c>
    </row>
    <row r="195" spans="2:14" x14ac:dyDescent="0.3">
      <c r="B195" t="s">
        <v>145</v>
      </c>
      <c r="C195">
        <v>2</v>
      </c>
      <c r="D195" t="s">
        <v>299</v>
      </c>
      <c r="E195">
        <f t="shared" si="11"/>
        <v>7</v>
      </c>
      <c r="F195" t="str">
        <f t="shared" si="12"/>
        <v>Vegetables</v>
      </c>
      <c r="I195" t="s">
        <v>145</v>
      </c>
      <c r="J195">
        <v>78</v>
      </c>
      <c r="K195">
        <v>2</v>
      </c>
      <c r="L195">
        <v>7</v>
      </c>
      <c r="M195" t="s">
        <v>299</v>
      </c>
      <c r="N195" t="s">
        <v>180</v>
      </c>
    </row>
    <row r="196" spans="2:14" x14ac:dyDescent="0.3">
      <c r="B196" t="s">
        <v>146</v>
      </c>
      <c r="C196">
        <v>3</v>
      </c>
      <c r="D196" t="s">
        <v>299</v>
      </c>
      <c r="E196">
        <f t="shared" si="11"/>
        <v>7</v>
      </c>
      <c r="F196" t="str">
        <f t="shared" si="12"/>
        <v>Herbs</v>
      </c>
      <c r="I196" t="s">
        <v>146</v>
      </c>
      <c r="J196">
        <v>79</v>
      </c>
      <c r="K196">
        <v>3</v>
      </c>
      <c r="L196">
        <v>7</v>
      </c>
      <c r="M196" t="s">
        <v>299</v>
      </c>
      <c r="N196" t="s">
        <v>184</v>
      </c>
    </row>
    <row r="197" spans="2:14" x14ac:dyDescent="0.3">
      <c r="B197" t="s">
        <v>147</v>
      </c>
      <c r="C197">
        <v>1</v>
      </c>
      <c r="D197" t="s">
        <v>25</v>
      </c>
      <c r="E197">
        <f t="shared" si="11"/>
        <v>3</v>
      </c>
      <c r="F197" t="str">
        <f t="shared" si="12"/>
        <v>Condiments</v>
      </c>
      <c r="I197" t="s">
        <v>147</v>
      </c>
      <c r="J197">
        <v>80</v>
      </c>
      <c r="K197">
        <v>1</v>
      </c>
      <c r="L197">
        <v>3</v>
      </c>
      <c r="M197" t="s">
        <v>25</v>
      </c>
      <c r="N197" t="s">
        <v>187</v>
      </c>
    </row>
    <row r="198" spans="2:14" x14ac:dyDescent="0.3">
      <c r="B198" t="s">
        <v>149</v>
      </c>
      <c r="C198">
        <v>12</v>
      </c>
      <c r="D198" t="s">
        <v>299</v>
      </c>
      <c r="E198">
        <f t="shared" si="11"/>
        <v>7</v>
      </c>
      <c r="F198" t="str">
        <f t="shared" si="12"/>
        <v>Vegetables</v>
      </c>
      <c r="I198" t="s">
        <v>149</v>
      </c>
      <c r="J198">
        <v>81</v>
      </c>
      <c r="K198">
        <v>12</v>
      </c>
      <c r="L198">
        <v>7</v>
      </c>
      <c r="M198" t="s">
        <v>299</v>
      </c>
      <c r="N198" t="s">
        <v>180</v>
      </c>
    </row>
    <row r="199" spans="2:14" x14ac:dyDescent="0.3">
      <c r="B199" t="s">
        <v>150</v>
      </c>
      <c r="C199">
        <v>200</v>
      </c>
      <c r="D199" t="s">
        <v>25</v>
      </c>
      <c r="E199">
        <f t="shared" si="11"/>
        <v>3</v>
      </c>
      <c r="F199" t="str">
        <f t="shared" si="12"/>
        <v>Dairy</v>
      </c>
      <c r="I199" t="s">
        <v>150</v>
      </c>
      <c r="J199">
        <v>82</v>
      </c>
      <c r="K199">
        <v>200</v>
      </c>
      <c r="L199">
        <v>3</v>
      </c>
      <c r="M199" t="s">
        <v>25</v>
      </c>
      <c r="N199" t="s">
        <v>183</v>
      </c>
    </row>
    <row r="200" spans="2:14" x14ac:dyDescent="0.3">
      <c r="B200" t="s">
        <v>151</v>
      </c>
      <c r="C200">
        <v>80</v>
      </c>
      <c r="D200" t="s">
        <v>25</v>
      </c>
      <c r="E200">
        <f t="shared" si="11"/>
        <v>3</v>
      </c>
      <c r="F200" t="str">
        <f t="shared" si="12"/>
        <v>Others</v>
      </c>
      <c r="I200" t="s">
        <v>151</v>
      </c>
      <c r="J200">
        <v>83</v>
      </c>
      <c r="K200">
        <v>80</v>
      </c>
      <c r="L200">
        <v>3</v>
      </c>
      <c r="M200" t="s">
        <v>25</v>
      </c>
      <c r="N200" t="s">
        <v>192</v>
      </c>
    </row>
  </sheetData>
  <autoFilter ref="B117:F200" xr:uid="{1B250B34-589D-43CF-B09F-B31CEE2974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2251-61E8-456F-8B2B-50B3352161C0}">
  <dimension ref="C4:J86"/>
  <sheetViews>
    <sheetView tabSelected="1" topLeftCell="A64" workbookViewId="0">
      <selection activeCell="J4" sqref="J4:J86"/>
    </sheetView>
  </sheetViews>
  <sheetFormatPr defaultRowHeight="14.4" x14ac:dyDescent="0.3"/>
  <cols>
    <col min="8" max="8" width="15.109375" bestFit="1" customWidth="1"/>
    <col min="10" max="10" width="12.33203125" bestFit="1" customWidth="1"/>
  </cols>
  <sheetData>
    <row r="4" spans="3:10" x14ac:dyDescent="0.3">
      <c r="C4" t="s">
        <v>314</v>
      </c>
      <c r="H4" s="24" t="s">
        <v>509</v>
      </c>
      <c r="J4" s="24" t="s">
        <v>509</v>
      </c>
    </row>
    <row r="5" spans="3:10" x14ac:dyDescent="0.3">
      <c r="C5" t="s">
        <v>315</v>
      </c>
      <c r="D5" t="s">
        <v>301</v>
      </c>
      <c r="H5" s="24" t="s">
        <v>510</v>
      </c>
      <c r="J5" s="24" t="s">
        <v>510</v>
      </c>
    </row>
    <row r="6" spans="3:10" x14ac:dyDescent="0.3">
      <c r="C6" t="s">
        <v>316</v>
      </c>
      <c r="H6" s="24" t="s">
        <v>511</v>
      </c>
      <c r="J6" s="24" t="s">
        <v>511</v>
      </c>
    </row>
    <row r="7" spans="3:10" x14ac:dyDescent="0.3">
      <c r="C7" t="s">
        <v>317</v>
      </c>
      <c r="D7" t="s">
        <v>318</v>
      </c>
      <c r="H7" s="24" t="s">
        <v>512</v>
      </c>
      <c r="J7" s="24" t="s">
        <v>512</v>
      </c>
    </row>
    <row r="8" spans="3:10" x14ac:dyDescent="0.3">
      <c r="C8" t="s">
        <v>319</v>
      </c>
      <c r="D8" t="s">
        <v>320</v>
      </c>
      <c r="H8" s="24" t="s">
        <v>513</v>
      </c>
      <c r="J8" s="24" t="s">
        <v>513</v>
      </c>
    </row>
    <row r="9" spans="3:10" x14ac:dyDescent="0.3">
      <c r="C9" t="s">
        <v>321</v>
      </c>
      <c r="H9" s="24" t="s">
        <v>514</v>
      </c>
      <c r="J9" s="24" t="s">
        <v>514</v>
      </c>
    </row>
    <row r="10" spans="3:10" x14ac:dyDescent="0.3">
      <c r="C10" t="s">
        <v>322</v>
      </c>
      <c r="D10" t="s">
        <v>323</v>
      </c>
      <c r="E10" t="s">
        <v>324</v>
      </c>
      <c r="H10" s="24" t="s">
        <v>515</v>
      </c>
      <c r="J10" s="24" t="s">
        <v>515</v>
      </c>
    </row>
    <row r="11" spans="3:10" x14ac:dyDescent="0.3">
      <c r="C11" t="s">
        <v>325</v>
      </c>
      <c r="D11" t="s">
        <v>326</v>
      </c>
      <c r="H11" s="24" t="s">
        <v>516</v>
      </c>
      <c r="J11" s="24" t="s">
        <v>516</v>
      </c>
    </row>
    <row r="12" spans="3:10" x14ac:dyDescent="0.3">
      <c r="C12" t="s">
        <v>327</v>
      </c>
      <c r="H12" s="24" t="s">
        <v>517</v>
      </c>
      <c r="J12" s="25" t="s">
        <v>517</v>
      </c>
    </row>
    <row r="13" spans="3:10" x14ac:dyDescent="0.3">
      <c r="C13" t="s">
        <v>328</v>
      </c>
      <c r="D13" t="s">
        <v>329</v>
      </c>
      <c r="H13" s="24" t="s">
        <v>435</v>
      </c>
      <c r="J13" s="25" t="s">
        <v>518</v>
      </c>
    </row>
    <row r="14" spans="3:10" x14ac:dyDescent="0.3">
      <c r="C14" t="s">
        <v>330</v>
      </c>
      <c r="D14" t="s">
        <v>331</v>
      </c>
      <c r="H14" s="24" t="s">
        <v>436</v>
      </c>
      <c r="J14" s="25" t="s">
        <v>519</v>
      </c>
    </row>
    <row r="15" spans="3:10" x14ac:dyDescent="0.3">
      <c r="C15" t="s">
        <v>332</v>
      </c>
      <c r="H15" s="24" t="s">
        <v>437</v>
      </c>
      <c r="J15" s="25" t="s">
        <v>520</v>
      </c>
    </row>
    <row r="16" spans="3:10" x14ac:dyDescent="0.3">
      <c r="C16" t="s">
        <v>333</v>
      </c>
      <c r="H16" s="24" t="s">
        <v>438</v>
      </c>
      <c r="J16" s="25" t="s">
        <v>521</v>
      </c>
    </row>
    <row r="17" spans="3:10" x14ac:dyDescent="0.3">
      <c r="C17" t="s">
        <v>334</v>
      </c>
      <c r="D17" t="s">
        <v>335</v>
      </c>
      <c r="H17" s="24" t="s">
        <v>439</v>
      </c>
      <c r="J17" s="25" t="s">
        <v>522</v>
      </c>
    </row>
    <row r="18" spans="3:10" x14ac:dyDescent="0.3">
      <c r="C18" t="s">
        <v>336</v>
      </c>
      <c r="D18" t="s">
        <v>337</v>
      </c>
      <c r="H18" s="24" t="s">
        <v>440</v>
      </c>
      <c r="J18" s="25" t="s">
        <v>523</v>
      </c>
    </row>
    <row r="19" spans="3:10" x14ac:dyDescent="0.3">
      <c r="C19" t="s">
        <v>338</v>
      </c>
      <c r="H19" s="24" t="s">
        <v>441</v>
      </c>
      <c r="J19" s="25" t="s">
        <v>524</v>
      </c>
    </row>
    <row r="20" spans="3:10" x14ac:dyDescent="0.3">
      <c r="C20" t="s">
        <v>339</v>
      </c>
      <c r="H20" s="24" t="s">
        <v>442</v>
      </c>
      <c r="J20" s="25" t="s">
        <v>525</v>
      </c>
    </row>
    <row r="21" spans="3:10" x14ac:dyDescent="0.3">
      <c r="C21" t="s">
        <v>340</v>
      </c>
      <c r="D21" t="s">
        <v>341</v>
      </c>
      <c r="H21" s="24" t="s">
        <v>443</v>
      </c>
      <c r="J21" s="25" t="s">
        <v>526</v>
      </c>
    </row>
    <row r="22" spans="3:10" x14ac:dyDescent="0.3">
      <c r="C22" t="s">
        <v>342</v>
      </c>
      <c r="H22" s="24" t="s">
        <v>444</v>
      </c>
      <c r="J22" s="25" t="s">
        <v>527</v>
      </c>
    </row>
    <row r="23" spans="3:10" x14ac:dyDescent="0.3">
      <c r="C23" t="s">
        <v>343</v>
      </c>
      <c r="D23" t="s">
        <v>344</v>
      </c>
      <c r="H23" s="24" t="s">
        <v>445</v>
      </c>
      <c r="J23" s="25" t="s">
        <v>528</v>
      </c>
    </row>
    <row r="24" spans="3:10" x14ac:dyDescent="0.3">
      <c r="C24" t="s">
        <v>345</v>
      </c>
      <c r="D24" t="s">
        <v>346</v>
      </c>
      <c r="H24" s="24" t="s">
        <v>446</v>
      </c>
      <c r="J24" s="25" t="s">
        <v>529</v>
      </c>
    </row>
    <row r="25" spans="3:10" x14ac:dyDescent="0.3">
      <c r="C25" t="s">
        <v>347</v>
      </c>
      <c r="D25" t="s">
        <v>125</v>
      </c>
      <c r="H25" s="24" t="s">
        <v>447</v>
      </c>
      <c r="J25" s="25" t="s">
        <v>530</v>
      </c>
    </row>
    <row r="26" spans="3:10" x14ac:dyDescent="0.3">
      <c r="C26" t="s">
        <v>348</v>
      </c>
      <c r="D26" t="s">
        <v>349</v>
      </c>
      <c r="H26" s="24" t="s">
        <v>448</v>
      </c>
      <c r="J26" s="25" t="s">
        <v>531</v>
      </c>
    </row>
    <row r="27" spans="3:10" x14ac:dyDescent="0.3">
      <c r="C27" t="s">
        <v>350</v>
      </c>
      <c r="H27" s="24" t="s">
        <v>449</v>
      </c>
      <c r="J27" s="25" t="s">
        <v>532</v>
      </c>
    </row>
    <row r="28" spans="3:10" x14ac:dyDescent="0.3">
      <c r="C28" t="s">
        <v>351</v>
      </c>
      <c r="H28" s="24" t="s">
        <v>450</v>
      </c>
      <c r="J28" s="25" t="s">
        <v>533</v>
      </c>
    </row>
    <row r="29" spans="3:10" x14ac:dyDescent="0.3">
      <c r="C29" t="s">
        <v>352</v>
      </c>
      <c r="D29" t="s">
        <v>353</v>
      </c>
      <c r="E29" t="s">
        <v>354</v>
      </c>
      <c r="H29" s="24" t="s">
        <v>451</v>
      </c>
      <c r="J29" s="25" t="s">
        <v>534</v>
      </c>
    </row>
    <row r="30" spans="3:10" x14ac:dyDescent="0.3">
      <c r="C30" t="s">
        <v>355</v>
      </c>
      <c r="D30" t="s">
        <v>356</v>
      </c>
      <c r="H30" s="24" t="s">
        <v>452</v>
      </c>
      <c r="J30" s="25" t="s">
        <v>535</v>
      </c>
    </row>
    <row r="31" spans="3:10" x14ac:dyDescent="0.3">
      <c r="C31" t="s">
        <v>357</v>
      </c>
      <c r="H31" s="24" t="s">
        <v>453</v>
      </c>
      <c r="J31" s="25" t="s">
        <v>536</v>
      </c>
    </row>
    <row r="32" spans="3:10" x14ac:dyDescent="0.3">
      <c r="C32" t="s">
        <v>358</v>
      </c>
      <c r="D32" t="s">
        <v>359</v>
      </c>
      <c r="H32" s="24" t="s">
        <v>454</v>
      </c>
      <c r="J32" s="25" t="s">
        <v>537</v>
      </c>
    </row>
    <row r="33" spans="3:10" x14ac:dyDescent="0.3">
      <c r="C33" t="s">
        <v>360</v>
      </c>
      <c r="D33" t="s">
        <v>72</v>
      </c>
      <c r="H33" s="24" t="s">
        <v>455</v>
      </c>
      <c r="J33" s="25" t="s">
        <v>538</v>
      </c>
    </row>
    <row r="34" spans="3:10" x14ac:dyDescent="0.3">
      <c r="C34" t="s">
        <v>361</v>
      </c>
      <c r="H34" s="24" t="s">
        <v>456</v>
      </c>
      <c r="J34" s="25" t="s">
        <v>539</v>
      </c>
    </row>
    <row r="35" spans="3:10" x14ac:dyDescent="0.3">
      <c r="C35" t="s">
        <v>362</v>
      </c>
      <c r="H35" s="24" t="s">
        <v>457</v>
      </c>
      <c r="J35" s="25" t="s">
        <v>540</v>
      </c>
    </row>
    <row r="36" spans="3:10" x14ac:dyDescent="0.3">
      <c r="C36" t="s">
        <v>363</v>
      </c>
      <c r="D36" t="s">
        <v>364</v>
      </c>
      <c r="H36" s="24" t="s">
        <v>458</v>
      </c>
      <c r="J36" s="25" t="s">
        <v>541</v>
      </c>
    </row>
    <row r="37" spans="3:10" x14ac:dyDescent="0.3">
      <c r="C37" t="s">
        <v>365</v>
      </c>
      <c r="H37" s="24" t="s">
        <v>459</v>
      </c>
      <c r="J37" s="25" t="s">
        <v>542</v>
      </c>
    </row>
    <row r="38" spans="3:10" x14ac:dyDescent="0.3">
      <c r="C38" t="s">
        <v>366</v>
      </c>
      <c r="D38" t="s">
        <v>30</v>
      </c>
      <c r="H38" s="24" t="s">
        <v>460</v>
      </c>
      <c r="J38" s="25" t="s">
        <v>543</v>
      </c>
    </row>
    <row r="39" spans="3:10" x14ac:dyDescent="0.3">
      <c r="C39" t="s">
        <v>367</v>
      </c>
      <c r="D39" t="s">
        <v>368</v>
      </c>
      <c r="H39" s="24" t="s">
        <v>461</v>
      </c>
      <c r="J39" s="25" t="s">
        <v>544</v>
      </c>
    </row>
    <row r="40" spans="3:10" x14ac:dyDescent="0.3">
      <c r="C40" t="s">
        <v>369</v>
      </c>
      <c r="H40" s="24" t="s">
        <v>462</v>
      </c>
      <c r="J40" s="25" t="s">
        <v>545</v>
      </c>
    </row>
    <row r="41" spans="3:10" x14ac:dyDescent="0.3">
      <c r="C41" t="s">
        <v>370</v>
      </c>
      <c r="H41" s="24" t="s">
        <v>463</v>
      </c>
      <c r="J41" s="25" t="s">
        <v>546</v>
      </c>
    </row>
    <row r="42" spans="3:10" x14ac:dyDescent="0.3">
      <c r="C42" t="s">
        <v>371</v>
      </c>
      <c r="D42" t="s">
        <v>372</v>
      </c>
      <c r="H42" s="24" t="s">
        <v>464</v>
      </c>
      <c r="J42" s="25" t="s">
        <v>547</v>
      </c>
    </row>
    <row r="43" spans="3:10" x14ac:dyDescent="0.3">
      <c r="C43" t="s">
        <v>373</v>
      </c>
      <c r="H43" s="24" t="s">
        <v>465</v>
      </c>
      <c r="J43" s="25" t="s">
        <v>548</v>
      </c>
    </row>
    <row r="44" spans="3:10" x14ac:dyDescent="0.3">
      <c r="C44" t="s">
        <v>374</v>
      </c>
      <c r="H44" s="24" t="s">
        <v>466</v>
      </c>
      <c r="J44" s="25" t="s">
        <v>549</v>
      </c>
    </row>
    <row r="45" spans="3:10" x14ac:dyDescent="0.3">
      <c r="C45" t="s">
        <v>375</v>
      </c>
      <c r="H45" s="24" t="s">
        <v>467</v>
      </c>
      <c r="J45" s="25" t="s">
        <v>550</v>
      </c>
    </row>
    <row r="46" spans="3:10" x14ac:dyDescent="0.3">
      <c r="C46" t="s">
        <v>376</v>
      </c>
      <c r="H46" s="24" t="s">
        <v>468</v>
      </c>
      <c r="J46" s="25" t="s">
        <v>551</v>
      </c>
    </row>
    <row r="47" spans="3:10" x14ac:dyDescent="0.3">
      <c r="C47" t="s">
        <v>377</v>
      </c>
      <c r="D47" t="s">
        <v>378</v>
      </c>
      <c r="H47" s="24" t="s">
        <v>469</v>
      </c>
      <c r="J47" s="25" t="s">
        <v>552</v>
      </c>
    </row>
    <row r="48" spans="3:10" x14ac:dyDescent="0.3">
      <c r="C48" t="s">
        <v>379</v>
      </c>
      <c r="D48" t="s">
        <v>380</v>
      </c>
      <c r="H48" s="24" t="s">
        <v>470</v>
      </c>
      <c r="J48" s="25" t="s">
        <v>553</v>
      </c>
    </row>
    <row r="49" spans="3:10" x14ac:dyDescent="0.3">
      <c r="C49" t="s">
        <v>381</v>
      </c>
      <c r="H49" s="24" t="s">
        <v>471</v>
      </c>
      <c r="J49" s="25" t="s">
        <v>554</v>
      </c>
    </row>
    <row r="50" spans="3:10" x14ac:dyDescent="0.3">
      <c r="C50" t="s">
        <v>382</v>
      </c>
      <c r="D50" t="s">
        <v>383</v>
      </c>
      <c r="H50" s="24" t="s">
        <v>472</v>
      </c>
      <c r="J50" s="25" t="s">
        <v>555</v>
      </c>
    </row>
    <row r="51" spans="3:10" x14ac:dyDescent="0.3">
      <c r="C51" t="s">
        <v>384</v>
      </c>
      <c r="D51" t="s">
        <v>385</v>
      </c>
      <c r="H51" s="24" t="s">
        <v>473</v>
      </c>
      <c r="J51" s="25" t="s">
        <v>556</v>
      </c>
    </row>
    <row r="52" spans="3:10" x14ac:dyDescent="0.3">
      <c r="C52" t="s">
        <v>386</v>
      </c>
      <c r="D52" t="s">
        <v>387</v>
      </c>
      <c r="E52" t="s">
        <v>388</v>
      </c>
      <c r="H52" s="24" t="s">
        <v>474</v>
      </c>
      <c r="J52" s="25" t="s">
        <v>557</v>
      </c>
    </row>
    <row r="53" spans="3:10" x14ac:dyDescent="0.3">
      <c r="C53" t="s">
        <v>389</v>
      </c>
      <c r="D53" t="s">
        <v>388</v>
      </c>
      <c r="H53" s="24" t="s">
        <v>475</v>
      </c>
      <c r="J53" s="25" t="s">
        <v>558</v>
      </c>
    </row>
    <row r="54" spans="3:10" x14ac:dyDescent="0.3">
      <c r="C54" t="s">
        <v>390</v>
      </c>
      <c r="D54" t="s">
        <v>391</v>
      </c>
      <c r="H54" s="24" t="s">
        <v>476</v>
      </c>
      <c r="J54" s="25" t="s">
        <v>559</v>
      </c>
    </row>
    <row r="55" spans="3:10" x14ac:dyDescent="0.3">
      <c r="C55" t="s">
        <v>392</v>
      </c>
      <c r="D55" t="s">
        <v>393</v>
      </c>
      <c r="H55" s="24" t="s">
        <v>477</v>
      </c>
      <c r="J55" s="25" t="s">
        <v>560</v>
      </c>
    </row>
    <row r="56" spans="3:10" x14ac:dyDescent="0.3">
      <c r="C56" t="s">
        <v>394</v>
      </c>
      <c r="H56" s="24" t="s">
        <v>478</v>
      </c>
      <c r="J56" s="25" t="s">
        <v>561</v>
      </c>
    </row>
    <row r="57" spans="3:10" x14ac:dyDescent="0.3">
      <c r="C57" t="s">
        <v>395</v>
      </c>
      <c r="D57" t="s">
        <v>396</v>
      </c>
      <c r="H57" s="24" t="s">
        <v>479</v>
      </c>
      <c r="J57" s="25" t="s">
        <v>562</v>
      </c>
    </row>
    <row r="58" spans="3:10" x14ac:dyDescent="0.3">
      <c r="C58" t="s">
        <v>397</v>
      </c>
      <c r="H58" s="24" t="s">
        <v>480</v>
      </c>
      <c r="J58" s="25" t="s">
        <v>563</v>
      </c>
    </row>
    <row r="59" spans="3:10" x14ac:dyDescent="0.3">
      <c r="C59" t="s">
        <v>398</v>
      </c>
      <c r="D59" t="s">
        <v>399</v>
      </c>
      <c r="H59" s="24" t="s">
        <v>481</v>
      </c>
      <c r="J59" s="25" t="s">
        <v>564</v>
      </c>
    </row>
    <row r="60" spans="3:10" x14ac:dyDescent="0.3">
      <c r="C60" t="s">
        <v>400</v>
      </c>
      <c r="H60" s="24" t="s">
        <v>482</v>
      </c>
      <c r="J60" s="25" t="s">
        <v>565</v>
      </c>
    </row>
    <row r="61" spans="3:10" x14ac:dyDescent="0.3">
      <c r="C61" t="s">
        <v>401</v>
      </c>
      <c r="D61" t="s">
        <v>11</v>
      </c>
      <c r="H61" s="24" t="s">
        <v>483</v>
      </c>
      <c r="J61" s="25" t="s">
        <v>566</v>
      </c>
    </row>
    <row r="62" spans="3:10" x14ac:dyDescent="0.3">
      <c r="C62" t="s">
        <v>402</v>
      </c>
      <c r="H62" s="24" t="s">
        <v>484</v>
      </c>
      <c r="J62" s="25" t="s">
        <v>567</v>
      </c>
    </row>
    <row r="63" spans="3:10" x14ac:dyDescent="0.3">
      <c r="C63" t="s">
        <v>403</v>
      </c>
      <c r="D63" t="s">
        <v>320</v>
      </c>
      <c r="H63" s="24" t="s">
        <v>485</v>
      </c>
      <c r="J63" s="25" t="s">
        <v>568</v>
      </c>
    </row>
    <row r="64" spans="3:10" x14ac:dyDescent="0.3">
      <c r="C64" t="s">
        <v>404</v>
      </c>
      <c r="H64" s="24" t="s">
        <v>486</v>
      </c>
      <c r="J64" s="25" t="s">
        <v>569</v>
      </c>
    </row>
    <row r="65" spans="3:10" x14ac:dyDescent="0.3">
      <c r="C65" t="s">
        <v>405</v>
      </c>
      <c r="D65" t="s">
        <v>406</v>
      </c>
      <c r="H65" s="24" t="s">
        <v>487</v>
      </c>
      <c r="J65" s="25" t="s">
        <v>570</v>
      </c>
    </row>
    <row r="66" spans="3:10" x14ac:dyDescent="0.3">
      <c r="C66" t="s">
        <v>407</v>
      </c>
      <c r="D66" t="s">
        <v>408</v>
      </c>
      <c r="H66" s="24" t="s">
        <v>488</v>
      </c>
      <c r="J66" s="25" t="s">
        <v>571</v>
      </c>
    </row>
    <row r="67" spans="3:10" x14ac:dyDescent="0.3">
      <c r="C67" t="s">
        <v>409</v>
      </c>
      <c r="D67" t="s">
        <v>410</v>
      </c>
      <c r="H67" s="24" t="s">
        <v>489</v>
      </c>
      <c r="J67" s="25" t="s">
        <v>572</v>
      </c>
    </row>
    <row r="68" spans="3:10" x14ac:dyDescent="0.3">
      <c r="C68" t="s">
        <v>411</v>
      </c>
      <c r="D68" t="s">
        <v>324</v>
      </c>
      <c r="H68" s="24" t="s">
        <v>490</v>
      </c>
      <c r="J68" s="25" t="s">
        <v>573</v>
      </c>
    </row>
    <row r="69" spans="3:10" x14ac:dyDescent="0.3">
      <c r="C69" t="s">
        <v>412</v>
      </c>
      <c r="D69" t="s">
        <v>125</v>
      </c>
      <c r="E69" t="s">
        <v>413</v>
      </c>
      <c r="H69" s="24" t="s">
        <v>491</v>
      </c>
      <c r="J69" s="25" t="s">
        <v>574</v>
      </c>
    </row>
    <row r="70" spans="3:10" x14ac:dyDescent="0.3">
      <c r="C70" t="s">
        <v>414</v>
      </c>
      <c r="H70" s="24" t="s">
        <v>492</v>
      </c>
      <c r="J70" s="25" t="s">
        <v>575</v>
      </c>
    </row>
    <row r="71" spans="3:10" x14ac:dyDescent="0.3">
      <c r="C71" t="s">
        <v>415</v>
      </c>
      <c r="H71" s="24" t="s">
        <v>493</v>
      </c>
      <c r="J71" s="25" t="s">
        <v>576</v>
      </c>
    </row>
    <row r="72" spans="3:10" x14ac:dyDescent="0.3">
      <c r="C72" t="s">
        <v>416</v>
      </c>
      <c r="H72" s="24" t="s">
        <v>494</v>
      </c>
      <c r="J72" s="25" t="s">
        <v>577</v>
      </c>
    </row>
    <row r="73" spans="3:10" x14ac:dyDescent="0.3">
      <c r="C73" t="s">
        <v>417</v>
      </c>
      <c r="H73" s="24" t="s">
        <v>495</v>
      </c>
      <c r="J73" s="25" t="s">
        <v>578</v>
      </c>
    </row>
    <row r="74" spans="3:10" x14ac:dyDescent="0.3">
      <c r="C74" t="s">
        <v>418</v>
      </c>
      <c r="D74" t="s">
        <v>419</v>
      </c>
      <c r="H74" s="24" t="s">
        <v>496</v>
      </c>
      <c r="J74" s="25" t="s">
        <v>579</v>
      </c>
    </row>
    <row r="75" spans="3:10" x14ac:dyDescent="0.3">
      <c r="C75" t="s">
        <v>420</v>
      </c>
      <c r="D75" t="s">
        <v>356</v>
      </c>
      <c r="H75" s="24" t="s">
        <v>497</v>
      </c>
      <c r="J75" s="25" t="s">
        <v>580</v>
      </c>
    </row>
    <row r="76" spans="3:10" x14ac:dyDescent="0.3">
      <c r="C76" t="s">
        <v>421</v>
      </c>
      <c r="D76" t="s">
        <v>422</v>
      </c>
      <c r="H76" s="24" t="s">
        <v>498</v>
      </c>
      <c r="J76" s="25" t="s">
        <v>581</v>
      </c>
    </row>
    <row r="77" spans="3:10" x14ac:dyDescent="0.3">
      <c r="C77" t="s">
        <v>423</v>
      </c>
      <c r="D77" t="s">
        <v>422</v>
      </c>
      <c r="H77" s="24" t="s">
        <v>499</v>
      </c>
      <c r="J77" s="25" t="s">
        <v>582</v>
      </c>
    </row>
    <row r="78" spans="3:10" x14ac:dyDescent="0.3">
      <c r="C78" t="s">
        <v>424</v>
      </c>
      <c r="D78" t="s">
        <v>143</v>
      </c>
      <c r="H78" s="24" t="s">
        <v>500</v>
      </c>
      <c r="J78" s="25" t="s">
        <v>583</v>
      </c>
    </row>
    <row r="79" spans="3:10" x14ac:dyDescent="0.3">
      <c r="C79" t="s">
        <v>425</v>
      </c>
      <c r="H79" s="24" t="s">
        <v>501</v>
      </c>
      <c r="J79" s="25" t="s">
        <v>584</v>
      </c>
    </row>
    <row r="80" spans="3:10" x14ac:dyDescent="0.3">
      <c r="C80" t="s">
        <v>426</v>
      </c>
      <c r="H80" s="24" t="s">
        <v>502</v>
      </c>
      <c r="J80" s="25" t="s">
        <v>585</v>
      </c>
    </row>
    <row r="81" spans="3:10" x14ac:dyDescent="0.3">
      <c r="C81" t="s">
        <v>427</v>
      </c>
      <c r="H81" s="24" t="s">
        <v>503</v>
      </c>
      <c r="J81" s="25" t="s">
        <v>586</v>
      </c>
    </row>
    <row r="82" spans="3:10" x14ac:dyDescent="0.3">
      <c r="C82" t="s">
        <v>428</v>
      </c>
      <c r="D82" t="s">
        <v>429</v>
      </c>
      <c r="H82" s="24" t="s">
        <v>504</v>
      </c>
      <c r="J82" s="25" t="s">
        <v>587</v>
      </c>
    </row>
    <row r="83" spans="3:10" x14ac:dyDescent="0.3">
      <c r="C83" t="s">
        <v>430</v>
      </c>
      <c r="D83" t="s">
        <v>410</v>
      </c>
      <c r="H83" s="24" t="s">
        <v>505</v>
      </c>
      <c r="J83" s="25" t="s">
        <v>588</v>
      </c>
    </row>
    <row r="84" spans="3:10" x14ac:dyDescent="0.3">
      <c r="C84" t="s">
        <v>431</v>
      </c>
      <c r="D84" t="s">
        <v>143</v>
      </c>
      <c r="H84" s="24" t="s">
        <v>506</v>
      </c>
      <c r="J84" s="25" t="s">
        <v>589</v>
      </c>
    </row>
    <row r="85" spans="3:10" x14ac:dyDescent="0.3">
      <c r="C85" t="s">
        <v>432</v>
      </c>
      <c r="D85" t="s">
        <v>372</v>
      </c>
      <c r="H85" s="24" t="s">
        <v>507</v>
      </c>
      <c r="J85" s="25" t="s">
        <v>590</v>
      </c>
    </row>
    <row r="86" spans="3:10" x14ac:dyDescent="0.3">
      <c r="C86" t="s">
        <v>433</v>
      </c>
      <c r="D86" t="s">
        <v>434</v>
      </c>
      <c r="H86" s="24" t="s">
        <v>508</v>
      </c>
      <c r="J86" s="25" t="s">
        <v>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2196-ACA8-4277-BA2F-1ECD7C8360DB}">
  <dimension ref="B1:F12"/>
  <sheetViews>
    <sheetView workbookViewId="0">
      <selection activeCell="F2" sqref="F2"/>
    </sheetView>
  </sheetViews>
  <sheetFormatPr defaultRowHeight="14.4" x14ac:dyDescent="0.3"/>
  <cols>
    <col min="5" max="5" width="23.33203125" bestFit="1" customWidth="1"/>
  </cols>
  <sheetData>
    <row r="1" spans="2:6" x14ac:dyDescent="0.3">
      <c r="B1" t="s">
        <v>158</v>
      </c>
      <c r="C1" t="s">
        <v>159</v>
      </c>
      <c r="E1" t="s">
        <v>6</v>
      </c>
      <c r="F1" t="s">
        <v>177</v>
      </c>
    </row>
    <row r="2" spans="2:6" x14ac:dyDescent="0.3">
      <c r="B2" t="s">
        <v>160</v>
      </c>
      <c r="C2" t="s">
        <v>161</v>
      </c>
      <c r="E2" t="s">
        <v>15</v>
      </c>
    </row>
    <row r="3" spans="2:6" x14ac:dyDescent="0.3">
      <c r="B3" t="s">
        <v>162</v>
      </c>
      <c r="C3" t="s">
        <v>163</v>
      </c>
      <c r="E3" t="s">
        <v>15</v>
      </c>
    </row>
    <row r="4" spans="2:6" x14ac:dyDescent="0.3">
      <c r="B4" t="s">
        <v>164</v>
      </c>
      <c r="C4" t="s">
        <v>165</v>
      </c>
      <c r="E4" t="s">
        <v>56</v>
      </c>
    </row>
    <row r="5" spans="2:6" x14ac:dyDescent="0.3">
      <c r="B5" t="s">
        <v>166</v>
      </c>
      <c r="C5" t="s">
        <v>167</v>
      </c>
      <c r="E5" t="s">
        <v>56</v>
      </c>
    </row>
    <row r="6" spans="2:6" x14ac:dyDescent="0.3">
      <c r="B6" t="s">
        <v>168</v>
      </c>
      <c r="C6" t="s">
        <v>169</v>
      </c>
      <c r="E6" t="s">
        <v>79</v>
      </c>
    </row>
    <row r="7" spans="2:6" x14ac:dyDescent="0.3">
      <c r="B7" t="s">
        <v>170</v>
      </c>
      <c r="C7" t="s">
        <v>171</v>
      </c>
      <c r="E7" t="s">
        <v>94</v>
      </c>
    </row>
    <row r="8" spans="2:6" x14ac:dyDescent="0.3">
      <c r="B8" t="s">
        <v>172</v>
      </c>
      <c r="C8" t="s">
        <v>173</v>
      </c>
      <c r="E8" t="s">
        <v>106</v>
      </c>
    </row>
    <row r="9" spans="2:6" x14ac:dyDescent="0.3">
      <c r="E9" t="s">
        <v>117</v>
      </c>
    </row>
    <row r="10" spans="2:6" x14ac:dyDescent="0.3">
      <c r="E10" t="s">
        <v>130</v>
      </c>
    </row>
    <row r="11" spans="2:6" x14ac:dyDescent="0.3">
      <c r="E11" t="s">
        <v>139</v>
      </c>
    </row>
    <row r="12" spans="2:6" x14ac:dyDescent="0.3">
      <c r="E12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627E-3A45-419C-8DDF-17996A58B9E5}">
  <dimension ref="A2:J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:B134"/>
    </sheetView>
  </sheetViews>
  <sheetFormatPr defaultRowHeight="14.4" x14ac:dyDescent="0.3"/>
  <cols>
    <col min="1" max="1" width="27" bestFit="1" customWidth="1"/>
    <col min="2" max="2" width="19.88671875" bestFit="1" customWidth="1"/>
    <col min="3" max="3" width="7.33203125" bestFit="1" customWidth="1"/>
    <col min="4" max="4" width="4.44140625" bestFit="1" customWidth="1"/>
    <col min="5" max="5" width="9.21875" bestFit="1" customWidth="1"/>
    <col min="6" max="6" width="11.5546875" bestFit="1" customWidth="1"/>
    <col min="7" max="7" width="6.6640625" bestFit="1" customWidth="1"/>
    <col min="8" max="8" width="14.88671875" bestFit="1" customWidth="1"/>
    <col min="9" max="9" width="23.33203125" bestFit="1" customWidth="1"/>
    <col min="10" max="10" width="9.6640625" bestFit="1" customWidth="1"/>
  </cols>
  <sheetData>
    <row r="2" spans="1:10" x14ac:dyDescent="0.3">
      <c r="A2" t="s">
        <v>0</v>
      </c>
    </row>
    <row r="3" spans="1:10" ht="15" thickBot="1" x14ac:dyDescent="0.35">
      <c r="A3" s="4" t="s">
        <v>1</v>
      </c>
      <c r="B3" s="4" t="s">
        <v>3</v>
      </c>
      <c r="C3" s="4" t="s">
        <v>9</v>
      </c>
      <c r="D3" s="4" t="s">
        <v>43</v>
      </c>
      <c r="E3" s="4" t="s">
        <v>4</v>
      </c>
      <c r="F3" s="4" t="s">
        <v>10</v>
      </c>
      <c r="G3" s="4" t="s">
        <v>5</v>
      </c>
      <c r="H3" s="9" t="s">
        <v>2</v>
      </c>
      <c r="I3" s="9" t="s">
        <v>6</v>
      </c>
      <c r="J3" t="s">
        <v>80</v>
      </c>
    </row>
    <row r="4" spans="1:10" ht="15" thickTop="1" x14ac:dyDescent="0.3">
      <c r="A4" t="s">
        <v>7</v>
      </c>
      <c r="B4" t="s">
        <v>11</v>
      </c>
      <c r="C4">
        <v>1</v>
      </c>
      <c r="E4" t="s">
        <v>12</v>
      </c>
      <c r="F4" t="s">
        <v>13</v>
      </c>
      <c r="G4" s="1" t="s">
        <v>14</v>
      </c>
      <c r="H4" s="10" t="s">
        <v>8</v>
      </c>
      <c r="I4" s="10" t="s">
        <v>15</v>
      </c>
      <c r="J4" s="8" t="s">
        <v>81</v>
      </c>
    </row>
    <row r="5" spans="1:10" x14ac:dyDescent="0.3">
      <c r="B5" t="s">
        <v>16</v>
      </c>
      <c r="C5">
        <v>6</v>
      </c>
      <c r="H5" s="10"/>
      <c r="I5" s="10"/>
    </row>
    <row r="6" spans="1:10" x14ac:dyDescent="0.3">
      <c r="B6" t="s">
        <v>17</v>
      </c>
      <c r="C6">
        <v>45</v>
      </c>
      <c r="D6" t="s">
        <v>20</v>
      </c>
      <c r="H6" s="10"/>
      <c r="I6" s="10"/>
    </row>
    <row r="7" spans="1:10" x14ac:dyDescent="0.3">
      <c r="B7" t="s">
        <v>18</v>
      </c>
      <c r="C7" s="2">
        <v>2.5</v>
      </c>
      <c r="D7" t="s">
        <v>21</v>
      </c>
      <c r="H7" s="10"/>
      <c r="I7" s="10"/>
    </row>
    <row r="8" spans="1:10" x14ac:dyDescent="0.3">
      <c r="B8" t="s">
        <v>19</v>
      </c>
      <c r="C8">
        <v>2</v>
      </c>
      <c r="D8" t="s">
        <v>21</v>
      </c>
      <c r="H8" s="10"/>
      <c r="I8" s="10"/>
    </row>
    <row r="9" spans="1:10" x14ac:dyDescent="0.3">
      <c r="B9" t="s">
        <v>22</v>
      </c>
      <c r="C9" s="2">
        <v>2.5</v>
      </c>
      <c r="D9" t="s">
        <v>21</v>
      </c>
      <c r="H9" s="10"/>
      <c r="I9" s="10"/>
    </row>
    <row r="10" spans="1:10" x14ac:dyDescent="0.3">
      <c r="B10" t="s">
        <v>23</v>
      </c>
      <c r="C10">
        <v>3</v>
      </c>
      <c r="D10" t="s">
        <v>21</v>
      </c>
      <c r="H10" s="10"/>
      <c r="I10" s="10"/>
    </row>
    <row r="11" spans="1:10" x14ac:dyDescent="0.3">
      <c r="B11" t="s">
        <v>24</v>
      </c>
      <c r="C11">
        <v>90</v>
      </c>
      <c r="D11" t="s">
        <v>25</v>
      </c>
      <c r="H11" s="10"/>
      <c r="I11" s="10"/>
    </row>
    <row r="12" spans="1:10" x14ac:dyDescent="0.3">
      <c r="B12" t="s">
        <v>26</v>
      </c>
      <c r="C12">
        <v>800</v>
      </c>
      <c r="D12" t="s">
        <v>20</v>
      </c>
      <c r="H12" s="10"/>
      <c r="I12" s="10"/>
    </row>
    <row r="13" spans="1:10" x14ac:dyDescent="0.3">
      <c r="B13" t="s">
        <v>65</v>
      </c>
      <c r="C13">
        <v>2</v>
      </c>
      <c r="D13" t="s">
        <v>27</v>
      </c>
      <c r="H13" s="10"/>
      <c r="I13" s="10"/>
    </row>
    <row r="14" spans="1:10" x14ac:dyDescent="0.3">
      <c r="B14" t="s">
        <v>28</v>
      </c>
      <c r="C14">
        <v>8</v>
      </c>
      <c r="H14" s="10"/>
      <c r="I14" s="10"/>
    </row>
    <row r="15" spans="1:10" x14ac:dyDescent="0.3">
      <c r="B15" t="s">
        <v>29</v>
      </c>
      <c r="C15">
        <v>3</v>
      </c>
      <c r="H15" s="10"/>
      <c r="I15" s="10"/>
    </row>
    <row r="16" spans="1:10" x14ac:dyDescent="0.3">
      <c r="B16" t="s">
        <v>30</v>
      </c>
      <c r="H16" s="10"/>
      <c r="I16" s="10"/>
    </row>
    <row r="17" spans="1:10" x14ac:dyDescent="0.3">
      <c r="B17" t="s">
        <v>31</v>
      </c>
      <c r="H17" s="10"/>
      <c r="I17" s="10"/>
    </row>
    <row r="18" spans="1:10" x14ac:dyDescent="0.3">
      <c r="A18" s="3" t="s">
        <v>32</v>
      </c>
      <c r="B18" s="3" t="s">
        <v>33</v>
      </c>
      <c r="C18" s="3">
        <v>4</v>
      </c>
      <c r="D18" s="3"/>
      <c r="E18" s="3" t="s">
        <v>41</v>
      </c>
      <c r="F18" s="3" t="s">
        <v>42</v>
      </c>
      <c r="G18" s="3">
        <v>4</v>
      </c>
      <c r="H18" s="11" t="s">
        <v>8</v>
      </c>
      <c r="I18" s="11" t="s">
        <v>15</v>
      </c>
      <c r="J18" s="3" t="s">
        <v>81</v>
      </c>
    </row>
    <row r="19" spans="1:10" x14ac:dyDescent="0.3">
      <c r="B19" t="s">
        <v>34</v>
      </c>
      <c r="C19">
        <v>2</v>
      </c>
      <c r="D19" t="s">
        <v>21</v>
      </c>
      <c r="H19" s="10"/>
      <c r="I19" s="10"/>
    </row>
    <row r="20" spans="1:10" x14ac:dyDescent="0.3">
      <c r="B20" t="s">
        <v>35</v>
      </c>
      <c r="C20">
        <v>2</v>
      </c>
      <c r="D20" t="s">
        <v>36</v>
      </c>
      <c r="H20" s="10"/>
      <c r="I20" s="10"/>
    </row>
    <row r="21" spans="1:10" x14ac:dyDescent="0.3">
      <c r="B21" t="s">
        <v>24</v>
      </c>
      <c r="C21">
        <v>60</v>
      </c>
      <c r="D21" t="s">
        <v>25</v>
      </c>
      <c r="H21" s="10"/>
      <c r="I21" s="10"/>
    </row>
    <row r="22" spans="1:10" x14ac:dyDescent="0.3">
      <c r="B22" t="s">
        <v>37</v>
      </c>
      <c r="C22">
        <v>250</v>
      </c>
      <c r="D22" t="s">
        <v>20</v>
      </c>
      <c r="H22" s="10"/>
      <c r="I22" s="10"/>
    </row>
    <row r="23" spans="1:10" x14ac:dyDescent="0.3">
      <c r="B23" t="s">
        <v>38</v>
      </c>
      <c r="C23">
        <v>90</v>
      </c>
      <c r="D23" t="s">
        <v>20</v>
      </c>
      <c r="H23" s="10"/>
      <c r="I23" s="10"/>
    </row>
    <row r="24" spans="1:10" x14ac:dyDescent="0.3">
      <c r="B24" t="s">
        <v>16</v>
      </c>
      <c r="C24">
        <v>3</v>
      </c>
      <c r="H24" s="10"/>
      <c r="I24" s="10"/>
    </row>
    <row r="25" spans="1:10" x14ac:dyDescent="0.3">
      <c r="B25" t="s">
        <v>39</v>
      </c>
      <c r="C25" s="2">
        <v>3.5</v>
      </c>
      <c r="D25" t="s">
        <v>21</v>
      </c>
      <c r="H25" s="10"/>
      <c r="I25" s="10"/>
    </row>
    <row r="26" spans="1:10" x14ac:dyDescent="0.3">
      <c r="B26" t="s">
        <v>40</v>
      </c>
      <c r="C26" s="2">
        <v>1.5</v>
      </c>
      <c r="D26" t="s">
        <v>21</v>
      </c>
      <c r="H26" s="10"/>
      <c r="I26" s="10"/>
    </row>
    <row r="27" spans="1:10" x14ac:dyDescent="0.3">
      <c r="B27" t="s">
        <v>30</v>
      </c>
      <c r="H27" s="10"/>
      <c r="I27" s="10"/>
    </row>
    <row r="28" spans="1:10" x14ac:dyDescent="0.3">
      <c r="B28" t="s">
        <v>31</v>
      </c>
      <c r="H28" s="10"/>
      <c r="I28" s="10"/>
    </row>
    <row r="29" spans="1:10" x14ac:dyDescent="0.3">
      <c r="A29" s="3" t="s">
        <v>44</v>
      </c>
      <c r="B29" s="3" t="s">
        <v>45</v>
      </c>
      <c r="C29" s="3">
        <v>400</v>
      </c>
      <c r="D29" s="3" t="s">
        <v>20</v>
      </c>
      <c r="E29" s="3" t="s">
        <v>54</v>
      </c>
      <c r="F29" s="3" t="s">
        <v>55</v>
      </c>
      <c r="G29" s="3">
        <v>6</v>
      </c>
      <c r="H29" s="11" t="s">
        <v>8</v>
      </c>
      <c r="I29" s="11" t="s">
        <v>56</v>
      </c>
      <c r="J29" s="3" t="s">
        <v>82</v>
      </c>
    </row>
    <row r="30" spans="1:10" x14ac:dyDescent="0.3">
      <c r="B30" t="s">
        <v>46</v>
      </c>
      <c r="C30">
        <v>50</v>
      </c>
      <c r="D30" t="s">
        <v>20</v>
      </c>
      <c r="H30" s="10"/>
      <c r="I30" s="10"/>
    </row>
    <row r="31" spans="1:10" x14ac:dyDescent="0.3">
      <c r="B31" t="s">
        <v>47</v>
      </c>
      <c r="C31">
        <v>800</v>
      </c>
      <c r="D31" t="s">
        <v>25</v>
      </c>
      <c r="H31" s="10"/>
      <c r="I31" s="10"/>
    </row>
    <row r="32" spans="1:10" x14ac:dyDescent="0.3">
      <c r="B32" t="s">
        <v>48</v>
      </c>
      <c r="C32">
        <v>50</v>
      </c>
      <c r="D32" t="s">
        <v>20</v>
      </c>
      <c r="H32" s="10"/>
      <c r="I32" s="10"/>
    </row>
    <row r="33" spans="1:10" x14ac:dyDescent="0.3">
      <c r="B33" t="s">
        <v>49</v>
      </c>
      <c r="C33">
        <v>150</v>
      </c>
      <c r="D33" t="s">
        <v>20</v>
      </c>
      <c r="H33" s="10"/>
      <c r="I33" s="10"/>
    </row>
    <row r="34" spans="1:10" x14ac:dyDescent="0.3">
      <c r="B34" t="s">
        <v>30</v>
      </c>
      <c r="H34" s="10"/>
      <c r="I34" s="10"/>
    </row>
    <row r="35" spans="1:10" x14ac:dyDescent="0.3">
      <c r="B35" t="s">
        <v>31</v>
      </c>
      <c r="H35" s="10"/>
      <c r="I35" s="10"/>
    </row>
    <row r="36" spans="1:10" x14ac:dyDescent="0.3">
      <c r="B36" t="s">
        <v>50</v>
      </c>
      <c r="C36">
        <v>40</v>
      </c>
      <c r="D36" t="s">
        <v>20</v>
      </c>
      <c r="H36" s="10"/>
      <c r="I36" s="10"/>
    </row>
    <row r="37" spans="1:10" x14ac:dyDescent="0.3">
      <c r="B37" t="s">
        <v>51</v>
      </c>
      <c r="C37">
        <v>90</v>
      </c>
      <c r="D37" t="s">
        <v>20</v>
      </c>
      <c r="H37" s="10"/>
      <c r="I37" s="10"/>
    </row>
    <row r="38" spans="1:10" x14ac:dyDescent="0.3">
      <c r="B38" t="s">
        <v>52</v>
      </c>
      <c r="C38">
        <v>50</v>
      </c>
      <c r="D38" t="s">
        <v>20</v>
      </c>
      <c r="H38" s="10"/>
      <c r="I38" s="10"/>
    </row>
    <row r="39" spans="1:10" x14ac:dyDescent="0.3">
      <c r="B39" t="s">
        <v>24</v>
      </c>
      <c r="C39">
        <v>3</v>
      </c>
      <c r="D39" t="s">
        <v>21</v>
      </c>
      <c r="H39" s="10"/>
      <c r="I39" s="10"/>
    </row>
    <row r="40" spans="1:10" x14ac:dyDescent="0.3">
      <c r="B40" t="s">
        <v>53</v>
      </c>
      <c r="C40">
        <v>1</v>
      </c>
      <c r="D40" t="s">
        <v>21</v>
      </c>
      <c r="H40" s="10"/>
      <c r="I40" s="10"/>
    </row>
    <row r="41" spans="1:10" x14ac:dyDescent="0.3">
      <c r="B41" t="s">
        <v>16</v>
      </c>
      <c r="C41">
        <v>1</v>
      </c>
      <c r="H41" s="10"/>
      <c r="I41" s="10"/>
    </row>
    <row r="42" spans="1:10" x14ac:dyDescent="0.3">
      <c r="A42" s="3" t="s">
        <v>57</v>
      </c>
      <c r="B42" s="3" t="s">
        <v>74</v>
      </c>
      <c r="C42" s="3">
        <v>800</v>
      </c>
      <c r="D42" s="3" t="s">
        <v>20</v>
      </c>
      <c r="E42" s="3" t="s">
        <v>118</v>
      </c>
      <c r="F42" s="3" t="s">
        <v>61</v>
      </c>
      <c r="G42" s="5" t="s">
        <v>14</v>
      </c>
      <c r="H42" s="11" t="s">
        <v>8</v>
      </c>
      <c r="I42" s="11" t="s">
        <v>56</v>
      </c>
      <c r="J42" s="3" t="s">
        <v>82</v>
      </c>
    </row>
    <row r="43" spans="1:10" x14ac:dyDescent="0.3">
      <c r="B43" t="s">
        <v>16</v>
      </c>
      <c r="C43">
        <v>12</v>
      </c>
      <c r="H43" s="10"/>
      <c r="I43" s="10"/>
    </row>
    <row r="44" spans="1:10" x14ac:dyDescent="0.3">
      <c r="B44" t="s">
        <v>58</v>
      </c>
      <c r="C44">
        <v>220</v>
      </c>
      <c r="D44" t="s">
        <v>20</v>
      </c>
      <c r="H44" s="10"/>
      <c r="I44" s="10"/>
    </row>
    <row r="45" spans="1:10" x14ac:dyDescent="0.3">
      <c r="B45" t="s">
        <v>40</v>
      </c>
      <c r="C45">
        <v>25</v>
      </c>
      <c r="D45" t="s">
        <v>20</v>
      </c>
      <c r="H45" s="10"/>
      <c r="I45" s="10"/>
    </row>
    <row r="46" spans="1:10" x14ac:dyDescent="0.3">
      <c r="B46" t="s">
        <v>59</v>
      </c>
      <c r="C46">
        <v>3</v>
      </c>
      <c r="D46" t="s">
        <v>21</v>
      </c>
      <c r="H46" s="10"/>
      <c r="I46" s="10"/>
    </row>
    <row r="47" spans="1:10" x14ac:dyDescent="0.3">
      <c r="B47" t="s">
        <v>60</v>
      </c>
      <c r="C47">
        <v>4</v>
      </c>
      <c r="H47" s="10"/>
      <c r="I47" s="10"/>
    </row>
    <row r="48" spans="1:10" x14ac:dyDescent="0.3">
      <c r="B48" t="s">
        <v>24</v>
      </c>
      <c r="C48">
        <v>100</v>
      </c>
      <c r="D48" t="s">
        <v>25</v>
      </c>
      <c r="H48" s="10"/>
      <c r="I48" s="10"/>
    </row>
    <row r="49" spans="1:10" x14ac:dyDescent="0.3">
      <c r="B49" t="s">
        <v>45</v>
      </c>
      <c r="C49">
        <v>300</v>
      </c>
      <c r="D49" t="s">
        <v>20</v>
      </c>
      <c r="H49" s="10"/>
      <c r="I49" s="10"/>
    </row>
    <row r="50" spans="1:10" x14ac:dyDescent="0.3">
      <c r="B50" t="s">
        <v>47</v>
      </c>
      <c r="C50">
        <v>600</v>
      </c>
      <c r="D50" t="s">
        <v>25</v>
      </c>
      <c r="H50" s="10"/>
      <c r="I50" s="10"/>
    </row>
    <row r="51" spans="1:10" x14ac:dyDescent="0.3">
      <c r="B51" t="s">
        <v>30</v>
      </c>
      <c r="H51" s="10"/>
      <c r="I51" s="10"/>
    </row>
    <row r="52" spans="1:10" x14ac:dyDescent="0.3">
      <c r="B52" t="s">
        <v>31</v>
      </c>
      <c r="H52" s="10"/>
      <c r="I52" s="10"/>
    </row>
    <row r="53" spans="1:10" x14ac:dyDescent="0.3">
      <c r="A53" s="3" t="s">
        <v>62</v>
      </c>
      <c r="B53" s="3" t="s">
        <v>73</v>
      </c>
      <c r="C53" s="3">
        <v>1</v>
      </c>
      <c r="D53" s="3" t="s">
        <v>63</v>
      </c>
      <c r="E53" s="3" t="s">
        <v>75</v>
      </c>
      <c r="F53" s="3" t="s">
        <v>77</v>
      </c>
      <c r="G53" s="3" t="s">
        <v>14</v>
      </c>
      <c r="H53" s="11" t="s">
        <v>78</v>
      </c>
      <c r="I53" s="11" t="s">
        <v>79</v>
      </c>
      <c r="J53" s="3" t="s">
        <v>82</v>
      </c>
    </row>
    <row r="54" spans="1:10" x14ac:dyDescent="0.3">
      <c r="B54" t="s">
        <v>24</v>
      </c>
      <c r="C54">
        <v>3</v>
      </c>
      <c r="D54" t="s">
        <v>21</v>
      </c>
      <c r="H54" s="10"/>
      <c r="I54" s="10"/>
    </row>
    <row r="55" spans="1:10" x14ac:dyDescent="0.3">
      <c r="B55" t="s">
        <v>64</v>
      </c>
      <c r="C55">
        <v>2</v>
      </c>
      <c r="D55" t="s">
        <v>36</v>
      </c>
      <c r="H55" s="10"/>
      <c r="I55" s="10"/>
    </row>
    <row r="56" spans="1:10" x14ac:dyDescent="0.3">
      <c r="B56" t="s">
        <v>66</v>
      </c>
      <c r="C56">
        <v>160</v>
      </c>
      <c r="D56" t="s">
        <v>20</v>
      </c>
      <c r="H56" s="10"/>
      <c r="I56" s="10"/>
    </row>
    <row r="57" spans="1:10" x14ac:dyDescent="0.3">
      <c r="B57" t="s">
        <v>67</v>
      </c>
      <c r="C57">
        <v>5</v>
      </c>
      <c r="D57" t="s">
        <v>20</v>
      </c>
      <c r="H57" s="10"/>
      <c r="I57" s="10"/>
    </row>
    <row r="58" spans="1:10" x14ac:dyDescent="0.3">
      <c r="B58" t="s">
        <v>68</v>
      </c>
      <c r="C58">
        <v>5</v>
      </c>
      <c r="D58" t="s">
        <v>20</v>
      </c>
      <c r="H58" s="10"/>
      <c r="I58" s="10"/>
    </row>
    <row r="59" spans="1:10" x14ac:dyDescent="0.3">
      <c r="B59" t="s">
        <v>31</v>
      </c>
      <c r="H59" s="10"/>
      <c r="I59" s="10"/>
    </row>
    <row r="60" spans="1:10" x14ac:dyDescent="0.3">
      <c r="B60" t="s">
        <v>11</v>
      </c>
      <c r="C60" s="6" t="s">
        <v>69</v>
      </c>
      <c r="H60" s="10"/>
      <c r="I60" s="10"/>
    </row>
    <row r="61" spans="1:10" x14ac:dyDescent="0.3">
      <c r="B61" t="s">
        <v>39</v>
      </c>
      <c r="C61">
        <v>2</v>
      </c>
      <c r="D61" t="s">
        <v>21</v>
      </c>
      <c r="H61" s="10"/>
      <c r="I61" s="10"/>
    </row>
    <row r="62" spans="1:10" x14ac:dyDescent="0.3">
      <c r="B62" t="s">
        <v>64</v>
      </c>
      <c r="C62" s="7" t="s">
        <v>69</v>
      </c>
      <c r="D62" t="s">
        <v>36</v>
      </c>
      <c r="H62" s="10"/>
      <c r="I62" s="10"/>
    </row>
    <row r="63" spans="1:10" x14ac:dyDescent="0.3">
      <c r="B63" t="s">
        <v>70</v>
      </c>
      <c r="C63">
        <v>4</v>
      </c>
      <c r="D63" t="s">
        <v>21</v>
      </c>
      <c r="H63" s="10"/>
      <c r="I63" s="10"/>
    </row>
    <row r="64" spans="1:10" x14ac:dyDescent="0.3">
      <c r="B64" t="s">
        <v>71</v>
      </c>
      <c r="C64">
        <v>15</v>
      </c>
      <c r="D64" t="s">
        <v>20</v>
      </c>
      <c r="H64" s="10"/>
      <c r="I64" s="10"/>
    </row>
    <row r="65" spans="1:10" x14ac:dyDescent="0.3">
      <c r="B65" t="s">
        <v>16</v>
      </c>
      <c r="C65">
        <v>1</v>
      </c>
      <c r="H65" s="10"/>
      <c r="I65" s="10"/>
    </row>
    <row r="66" spans="1:10" x14ac:dyDescent="0.3">
      <c r="B66" t="s">
        <v>72</v>
      </c>
      <c r="C66">
        <v>2</v>
      </c>
      <c r="H66" s="10"/>
      <c r="I66" s="10"/>
    </row>
    <row r="67" spans="1:10" x14ac:dyDescent="0.3">
      <c r="A67" s="3" t="s">
        <v>83</v>
      </c>
      <c r="B67" s="3" t="s">
        <v>84</v>
      </c>
      <c r="C67" s="3">
        <v>2</v>
      </c>
      <c r="D67" s="3"/>
      <c r="E67" s="3" t="s">
        <v>91</v>
      </c>
      <c r="F67" s="3" t="s">
        <v>92</v>
      </c>
      <c r="G67" s="3">
        <v>12</v>
      </c>
      <c r="H67" s="11" t="s">
        <v>93</v>
      </c>
      <c r="I67" s="11" t="s">
        <v>94</v>
      </c>
      <c r="J67" s="3" t="s">
        <v>95</v>
      </c>
    </row>
    <row r="68" spans="1:10" x14ac:dyDescent="0.3">
      <c r="B68" t="s">
        <v>85</v>
      </c>
      <c r="C68">
        <v>500</v>
      </c>
      <c r="D68" t="s">
        <v>20</v>
      </c>
      <c r="H68" s="10"/>
      <c r="I68" s="10"/>
    </row>
    <row r="69" spans="1:10" x14ac:dyDescent="0.3">
      <c r="B69" t="s">
        <v>86</v>
      </c>
      <c r="C69">
        <v>400</v>
      </c>
      <c r="D69" t="s">
        <v>20</v>
      </c>
      <c r="H69" s="10"/>
      <c r="I69" s="10"/>
    </row>
    <row r="70" spans="1:10" x14ac:dyDescent="0.3">
      <c r="B70" t="s">
        <v>60</v>
      </c>
      <c r="C70">
        <v>1</v>
      </c>
      <c r="H70" s="10"/>
      <c r="I70" s="10"/>
    </row>
    <row r="71" spans="1:10" x14ac:dyDescent="0.3">
      <c r="B71" t="s">
        <v>24</v>
      </c>
      <c r="C71">
        <v>200</v>
      </c>
      <c r="D71" t="s">
        <v>25</v>
      </c>
      <c r="H71" s="10"/>
      <c r="I71" s="10"/>
    </row>
    <row r="72" spans="1:10" x14ac:dyDescent="0.3">
      <c r="B72" t="s">
        <v>87</v>
      </c>
      <c r="C72">
        <v>250</v>
      </c>
      <c r="D72" t="s">
        <v>20</v>
      </c>
      <c r="H72" s="10"/>
      <c r="I72" s="10"/>
    </row>
    <row r="73" spans="1:10" x14ac:dyDescent="0.3">
      <c r="B73" t="s">
        <v>88</v>
      </c>
      <c r="C73">
        <v>5</v>
      </c>
      <c r="H73" s="10"/>
      <c r="I73" s="10"/>
    </row>
    <row r="74" spans="1:10" x14ac:dyDescent="0.3">
      <c r="B74" t="s">
        <v>89</v>
      </c>
      <c r="C74">
        <v>1</v>
      </c>
      <c r="D74" t="s">
        <v>21</v>
      </c>
      <c r="H74" s="10"/>
      <c r="I74" s="10"/>
    </row>
    <row r="75" spans="1:10" x14ac:dyDescent="0.3">
      <c r="B75" t="s">
        <v>99</v>
      </c>
      <c r="C75">
        <v>1</v>
      </c>
      <c r="D75" t="s">
        <v>36</v>
      </c>
      <c r="H75" s="10"/>
      <c r="I75" s="10"/>
    </row>
    <row r="76" spans="1:10" x14ac:dyDescent="0.3">
      <c r="A76" s="3" t="s">
        <v>108</v>
      </c>
      <c r="B76" s="3" t="s">
        <v>96</v>
      </c>
      <c r="C76" s="3">
        <v>140</v>
      </c>
      <c r="D76" s="3" t="s">
        <v>20</v>
      </c>
      <c r="E76" s="3" t="s">
        <v>103</v>
      </c>
      <c r="F76" s="3" t="s">
        <v>104</v>
      </c>
      <c r="G76" s="3">
        <v>12</v>
      </c>
      <c r="H76" s="11" t="s">
        <v>105</v>
      </c>
      <c r="I76" s="11" t="s">
        <v>106</v>
      </c>
      <c r="J76" s="3" t="s">
        <v>95</v>
      </c>
    </row>
    <row r="77" spans="1:10" x14ac:dyDescent="0.3">
      <c r="B77" t="s">
        <v>97</v>
      </c>
      <c r="C77">
        <v>150</v>
      </c>
      <c r="D77" t="s">
        <v>20</v>
      </c>
      <c r="H77" s="10"/>
      <c r="I77" s="10"/>
    </row>
    <row r="78" spans="1:10" x14ac:dyDescent="0.3">
      <c r="B78" t="s">
        <v>89</v>
      </c>
      <c r="C78">
        <v>1</v>
      </c>
      <c r="D78" t="s">
        <v>21</v>
      </c>
      <c r="H78" s="10"/>
      <c r="I78" s="10"/>
    </row>
    <row r="79" spans="1:10" x14ac:dyDescent="0.3">
      <c r="B79" t="s">
        <v>98</v>
      </c>
      <c r="C79">
        <v>1</v>
      </c>
      <c r="D79" t="s">
        <v>36</v>
      </c>
      <c r="H79" s="10"/>
      <c r="I79" s="10"/>
    </row>
    <row r="80" spans="1:10" x14ac:dyDescent="0.3">
      <c r="B80" t="s">
        <v>88</v>
      </c>
      <c r="C80">
        <v>1</v>
      </c>
      <c r="H80" s="10"/>
      <c r="I80" s="10"/>
    </row>
    <row r="81" spans="1:10" x14ac:dyDescent="0.3">
      <c r="B81" t="s">
        <v>24</v>
      </c>
      <c r="C81">
        <v>160</v>
      </c>
      <c r="D81" t="s">
        <v>25</v>
      </c>
      <c r="H81" s="10"/>
      <c r="I81" s="10"/>
    </row>
    <row r="82" spans="1:10" x14ac:dyDescent="0.3">
      <c r="B82" t="s">
        <v>99</v>
      </c>
      <c r="C82">
        <v>1</v>
      </c>
      <c r="D82" t="s">
        <v>36</v>
      </c>
      <c r="H82" s="10"/>
      <c r="I82" s="10"/>
    </row>
    <row r="83" spans="1:10" x14ac:dyDescent="0.3">
      <c r="B83" t="s">
        <v>100</v>
      </c>
      <c r="C83">
        <v>180</v>
      </c>
      <c r="D83" t="s">
        <v>25</v>
      </c>
      <c r="H83" s="10"/>
      <c r="I83" s="10"/>
    </row>
    <row r="84" spans="1:10" x14ac:dyDescent="0.3">
      <c r="B84" t="s">
        <v>101</v>
      </c>
      <c r="C84">
        <v>80</v>
      </c>
      <c r="D84" t="s">
        <v>25</v>
      </c>
      <c r="H84" s="10"/>
      <c r="I84" s="10"/>
    </row>
    <row r="85" spans="1:10" x14ac:dyDescent="0.3">
      <c r="B85" t="s">
        <v>102</v>
      </c>
      <c r="C85">
        <v>375</v>
      </c>
      <c r="D85" t="s">
        <v>20</v>
      </c>
      <c r="H85" s="10"/>
      <c r="I85" s="10"/>
    </row>
    <row r="86" spans="1:10" x14ac:dyDescent="0.3">
      <c r="A86" s="3" t="s">
        <v>107</v>
      </c>
      <c r="B86" s="3" t="s">
        <v>109</v>
      </c>
      <c r="C86" s="3">
        <v>15</v>
      </c>
      <c r="D86" s="3" t="s">
        <v>20</v>
      </c>
      <c r="E86" s="3" t="s">
        <v>103</v>
      </c>
      <c r="F86" s="3" t="s">
        <v>90</v>
      </c>
      <c r="G86" s="3">
        <v>4</v>
      </c>
      <c r="H86" s="11" t="s">
        <v>93</v>
      </c>
      <c r="I86" s="11" t="s">
        <v>117</v>
      </c>
      <c r="J86" s="3" t="s">
        <v>81</v>
      </c>
    </row>
    <row r="87" spans="1:10" x14ac:dyDescent="0.3">
      <c r="B87" t="s">
        <v>110</v>
      </c>
      <c r="C87">
        <v>4</v>
      </c>
      <c r="H87" s="10"/>
      <c r="I87" s="10"/>
    </row>
    <row r="88" spans="1:10" x14ac:dyDescent="0.3">
      <c r="B88" t="s">
        <v>111</v>
      </c>
      <c r="C88">
        <v>2</v>
      </c>
      <c r="H88" s="10"/>
      <c r="I88" s="10"/>
    </row>
    <row r="89" spans="1:10" x14ac:dyDescent="0.3">
      <c r="B89" t="s">
        <v>112</v>
      </c>
      <c r="C89">
        <v>2</v>
      </c>
      <c r="H89" s="10"/>
      <c r="I89" s="10"/>
    </row>
    <row r="90" spans="1:10" x14ac:dyDescent="0.3">
      <c r="B90" t="s">
        <v>74</v>
      </c>
      <c r="C90">
        <v>200</v>
      </c>
      <c r="D90" t="s">
        <v>20</v>
      </c>
      <c r="H90" s="10"/>
      <c r="I90" s="10"/>
    </row>
    <row r="91" spans="1:10" x14ac:dyDescent="0.3">
      <c r="B91" t="s">
        <v>113</v>
      </c>
      <c r="C91">
        <v>4</v>
      </c>
      <c r="H91" s="10"/>
      <c r="I91" s="10"/>
    </row>
    <row r="92" spans="1:10" x14ac:dyDescent="0.3">
      <c r="B92" t="s">
        <v>40</v>
      </c>
      <c r="C92">
        <v>50</v>
      </c>
      <c r="D92" t="s">
        <v>20</v>
      </c>
      <c r="H92" s="10"/>
      <c r="I92" s="10"/>
    </row>
    <row r="93" spans="1:10" x14ac:dyDescent="0.3">
      <c r="B93" t="s">
        <v>114</v>
      </c>
      <c r="C93">
        <v>1</v>
      </c>
      <c r="H93" s="10"/>
      <c r="I93" s="10"/>
    </row>
    <row r="94" spans="1:10" x14ac:dyDescent="0.3">
      <c r="B94" t="s">
        <v>115</v>
      </c>
      <c r="C94">
        <v>1</v>
      </c>
      <c r="D94" t="s">
        <v>21</v>
      </c>
      <c r="H94" s="10"/>
      <c r="I94" s="10"/>
    </row>
    <row r="95" spans="1:10" x14ac:dyDescent="0.3">
      <c r="B95" t="s">
        <v>22</v>
      </c>
      <c r="C95" s="7" t="s">
        <v>69</v>
      </c>
      <c r="D95" t="s">
        <v>21</v>
      </c>
      <c r="H95" s="10"/>
      <c r="I95" s="10"/>
    </row>
    <row r="96" spans="1:10" x14ac:dyDescent="0.3">
      <c r="B96" t="s">
        <v>116</v>
      </c>
      <c r="C96">
        <v>3</v>
      </c>
      <c r="D96" t="s">
        <v>21</v>
      </c>
      <c r="H96" s="10"/>
      <c r="I96" s="10"/>
    </row>
    <row r="97" spans="1:10" x14ac:dyDescent="0.3">
      <c r="A97" s="3" t="s">
        <v>119</v>
      </c>
      <c r="B97" s="3" t="s">
        <v>120</v>
      </c>
      <c r="C97" s="3">
        <v>2</v>
      </c>
      <c r="D97" s="3" t="s">
        <v>21</v>
      </c>
      <c r="E97" s="3" t="s">
        <v>75</v>
      </c>
      <c r="F97" s="3" t="s">
        <v>131</v>
      </c>
      <c r="G97" s="3">
        <v>6</v>
      </c>
      <c r="H97" s="11" t="s">
        <v>129</v>
      </c>
      <c r="I97" s="11" t="s">
        <v>130</v>
      </c>
      <c r="J97" s="3" t="s">
        <v>81</v>
      </c>
    </row>
    <row r="98" spans="1:10" x14ac:dyDescent="0.3">
      <c r="B98" t="s">
        <v>22</v>
      </c>
      <c r="C98">
        <v>2</v>
      </c>
      <c r="D98" t="s">
        <v>21</v>
      </c>
      <c r="H98" s="10"/>
      <c r="I98" s="10"/>
    </row>
    <row r="99" spans="1:10" x14ac:dyDescent="0.3">
      <c r="B99" t="s">
        <v>121</v>
      </c>
      <c r="C99">
        <v>1.3</v>
      </c>
      <c r="D99" t="s">
        <v>63</v>
      </c>
      <c r="H99" s="10"/>
      <c r="I99" s="10"/>
    </row>
    <row r="100" spans="1:10" x14ac:dyDescent="0.3">
      <c r="B100" t="s">
        <v>122</v>
      </c>
      <c r="C100">
        <v>500</v>
      </c>
      <c r="D100" t="s">
        <v>25</v>
      </c>
      <c r="H100" s="10"/>
      <c r="I100" s="10"/>
    </row>
    <row r="101" spans="1:10" x14ac:dyDescent="0.3">
      <c r="B101" t="s">
        <v>123</v>
      </c>
      <c r="C101">
        <v>2</v>
      </c>
      <c r="D101" t="s">
        <v>21</v>
      </c>
      <c r="H101" s="10"/>
      <c r="I101" s="10"/>
    </row>
    <row r="102" spans="1:10" x14ac:dyDescent="0.3">
      <c r="B102" t="s">
        <v>124</v>
      </c>
      <c r="C102">
        <v>400</v>
      </c>
      <c r="D102" t="s">
        <v>20</v>
      </c>
      <c r="H102" s="10"/>
      <c r="I102" s="10"/>
    </row>
    <row r="103" spans="1:10" x14ac:dyDescent="0.3">
      <c r="B103" t="s">
        <v>125</v>
      </c>
      <c r="C103">
        <v>20</v>
      </c>
      <c r="D103" t="s">
        <v>20</v>
      </c>
      <c r="H103" s="10"/>
      <c r="I103" s="10"/>
    </row>
    <row r="104" spans="1:10" x14ac:dyDescent="0.3">
      <c r="B104" t="s">
        <v>126</v>
      </c>
      <c r="C104">
        <v>10</v>
      </c>
      <c r="D104" t="s">
        <v>20</v>
      </c>
      <c r="H104" s="10"/>
      <c r="I104" s="10"/>
    </row>
    <row r="105" spans="1:10" x14ac:dyDescent="0.3">
      <c r="B105" t="s">
        <v>127</v>
      </c>
      <c r="C105">
        <v>5</v>
      </c>
      <c r="D105" t="s">
        <v>20</v>
      </c>
      <c r="H105" s="10"/>
      <c r="I105" s="10"/>
    </row>
    <row r="106" spans="1:10" x14ac:dyDescent="0.3">
      <c r="B106" t="s">
        <v>68</v>
      </c>
      <c r="C106">
        <v>5</v>
      </c>
      <c r="D106" t="s">
        <v>20</v>
      </c>
      <c r="H106" s="10"/>
      <c r="I106" s="10"/>
    </row>
    <row r="107" spans="1:10" x14ac:dyDescent="0.3">
      <c r="B107" t="s">
        <v>128</v>
      </c>
      <c r="C107">
        <v>5</v>
      </c>
      <c r="D107" t="s">
        <v>20</v>
      </c>
      <c r="H107" s="10"/>
      <c r="I107" s="10"/>
    </row>
    <row r="108" spans="1:10" x14ac:dyDescent="0.3">
      <c r="B108" t="s">
        <v>30</v>
      </c>
      <c r="H108" s="10"/>
      <c r="I108" s="10"/>
    </row>
    <row r="109" spans="1:10" x14ac:dyDescent="0.3">
      <c r="B109" t="s">
        <v>31</v>
      </c>
      <c r="H109" s="10"/>
      <c r="I109" s="10"/>
    </row>
    <row r="110" spans="1:10" x14ac:dyDescent="0.3">
      <c r="A110" s="3" t="s">
        <v>132</v>
      </c>
      <c r="B110" s="3" t="s">
        <v>133</v>
      </c>
      <c r="C110" s="3">
        <v>4</v>
      </c>
      <c r="D110" s="3"/>
      <c r="E110" s="3" t="s">
        <v>75</v>
      </c>
      <c r="F110" s="3" t="s">
        <v>76</v>
      </c>
      <c r="G110" s="3" t="s">
        <v>137</v>
      </c>
      <c r="H110" s="11" t="s">
        <v>138</v>
      </c>
      <c r="I110" s="11" t="s">
        <v>139</v>
      </c>
      <c r="J110" s="3" t="s">
        <v>140</v>
      </c>
    </row>
    <row r="111" spans="1:10" x14ac:dyDescent="0.3">
      <c r="B111" t="s">
        <v>24</v>
      </c>
      <c r="C111">
        <v>3</v>
      </c>
      <c r="D111" t="s">
        <v>21</v>
      </c>
      <c r="H111" s="10"/>
      <c r="I111" s="10"/>
    </row>
    <row r="112" spans="1:10" x14ac:dyDescent="0.3">
      <c r="B112" t="s">
        <v>16</v>
      </c>
      <c r="C112">
        <v>2</v>
      </c>
      <c r="H112" s="10"/>
      <c r="I112" s="10"/>
    </row>
    <row r="113" spans="1:10" x14ac:dyDescent="0.3">
      <c r="B113" t="s">
        <v>134</v>
      </c>
      <c r="C113">
        <v>3</v>
      </c>
      <c r="D113" t="s">
        <v>36</v>
      </c>
      <c r="H113" s="10"/>
      <c r="I113" s="10"/>
    </row>
    <row r="114" spans="1:10" x14ac:dyDescent="0.3">
      <c r="B114" t="s">
        <v>135</v>
      </c>
      <c r="C114">
        <v>3</v>
      </c>
      <c r="D114" t="s">
        <v>36</v>
      </c>
      <c r="H114" s="10"/>
      <c r="I114" s="10"/>
    </row>
    <row r="115" spans="1:10" x14ac:dyDescent="0.3">
      <c r="B115" t="s">
        <v>136</v>
      </c>
      <c r="H115" s="10"/>
      <c r="I115" s="10"/>
    </row>
    <row r="116" spans="1:10" x14ac:dyDescent="0.3">
      <c r="B116" t="s">
        <v>31</v>
      </c>
      <c r="H116" s="10"/>
      <c r="I116" s="10"/>
    </row>
    <row r="117" spans="1:10" x14ac:dyDescent="0.3">
      <c r="B117" t="s">
        <v>71</v>
      </c>
      <c r="C117">
        <v>25</v>
      </c>
      <c r="D117" t="s">
        <v>20</v>
      </c>
      <c r="H117" s="10"/>
      <c r="I117" s="10"/>
    </row>
    <row r="118" spans="1:10" x14ac:dyDescent="0.3">
      <c r="A118" s="3" t="s">
        <v>141</v>
      </c>
      <c r="B118" s="3" t="s">
        <v>142</v>
      </c>
      <c r="C118" s="3">
        <v>25</v>
      </c>
      <c r="D118" s="3" t="s">
        <v>20</v>
      </c>
      <c r="E118" s="3" t="s">
        <v>42</v>
      </c>
      <c r="F118" s="3" t="s">
        <v>152</v>
      </c>
      <c r="G118" s="3">
        <v>8</v>
      </c>
      <c r="H118" s="11" t="s">
        <v>153</v>
      </c>
      <c r="I118" s="11" t="s">
        <v>154</v>
      </c>
      <c r="J118" s="3" t="s">
        <v>155</v>
      </c>
    </row>
    <row r="119" spans="1:10" x14ac:dyDescent="0.3">
      <c r="B119" t="s">
        <v>47</v>
      </c>
      <c r="C119">
        <v>275</v>
      </c>
      <c r="D119" t="s">
        <v>25</v>
      </c>
    </row>
    <row r="120" spans="1:10" x14ac:dyDescent="0.3">
      <c r="B120" t="s">
        <v>125</v>
      </c>
      <c r="C120">
        <v>75</v>
      </c>
      <c r="D120" t="s">
        <v>20</v>
      </c>
    </row>
    <row r="121" spans="1:10" x14ac:dyDescent="0.3">
      <c r="B121" t="s">
        <v>143</v>
      </c>
      <c r="C121">
        <v>110</v>
      </c>
      <c r="D121" t="s">
        <v>20</v>
      </c>
    </row>
    <row r="122" spans="1:10" x14ac:dyDescent="0.3">
      <c r="B122" t="s">
        <v>26</v>
      </c>
      <c r="C122">
        <v>2</v>
      </c>
    </row>
    <row r="123" spans="1:10" x14ac:dyDescent="0.3">
      <c r="B123" t="s">
        <v>144</v>
      </c>
      <c r="C123">
        <v>2</v>
      </c>
    </row>
    <row r="124" spans="1:10" x14ac:dyDescent="0.3">
      <c r="B124" t="s">
        <v>11</v>
      </c>
      <c r="C124">
        <v>1</v>
      </c>
    </row>
    <row r="125" spans="1:10" x14ac:dyDescent="0.3">
      <c r="B125" t="s">
        <v>145</v>
      </c>
      <c r="C125">
        <v>1</v>
      </c>
    </row>
    <row r="126" spans="1:10" x14ac:dyDescent="0.3">
      <c r="B126" t="s">
        <v>146</v>
      </c>
      <c r="C126">
        <v>2</v>
      </c>
    </row>
    <row r="127" spans="1:10" x14ac:dyDescent="0.3">
      <c r="B127" t="s">
        <v>59</v>
      </c>
      <c r="C127" s="2">
        <v>1.5</v>
      </c>
      <c r="D127" t="s">
        <v>36</v>
      </c>
    </row>
    <row r="128" spans="1:10" x14ac:dyDescent="0.3">
      <c r="B128" t="s">
        <v>16</v>
      </c>
      <c r="C128">
        <v>2</v>
      </c>
    </row>
    <row r="129" spans="2:4" x14ac:dyDescent="0.3">
      <c r="B129" t="s">
        <v>147</v>
      </c>
      <c r="C129">
        <v>2</v>
      </c>
      <c r="D129" t="s">
        <v>148</v>
      </c>
    </row>
    <row r="130" spans="2:4" x14ac:dyDescent="0.3">
      <c r="B130" t="s">
        <v>149</v>
      </c>
      <c r="C130">
        <v>225</v>
      </c>
      <c r="D130" t="s">
        <v>20</v>
      </c>
    </row>
    <row r="131" spans="2:4" x14ac:dyDescent="0.3">
      <c r="B131" t="s">
        <v>52</v>
      </c>
      <c r="C131">
        <v>110</v>
      </c>
      <c r="D131" t="s">
        <v>20</v>
      </c>
    </row>
    <row r="132" spans="2:4" x14ac:dyDescent="0.3">
      <c r="B132" t="s">
        <v>150</v>
      </c>
      <c r="C132">
        <v>75</v>
      </c>
      <c r="D132" t="s">
        <v>25</v>
      </c>
    </row>
    <row r="133" spans="2:4" x14ac:dyDescent="0.3">
      <c r="B133" t="s">
        <v>151</v>
      </c>
      <c r="C133">
        <v>75</v>
      </c>
      <c r="D133" t="s">
        <v>25</v>
      </c>
    </row>
    <row r="134" spans="2:4" x14ac:dyDescent="0.3">
      <c r="B134" t="s">
        <v>39</v>
      </c>
      <c r="C134">
        <v>10</v>
      </c>
      <c r="D13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Main2</vt:lpstr>
      <vt:lpstr>recipe_table</vt:lpstr>
      <vt:lpstr>working_table</vt:lpstr>
      <vt:lpstr>Sheet5</vt:lpstr>
      <vt:lpstr>CSV</vt:lpstr>
      <vt:lpstr>Main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Etheridge</dc:creator>
  <cp:lastModifiedBy>Chika Etheridge</cp:lastModifiedBy>
  <dcterms:created xsi:type="dcterms:W3CDTF">2026-04-14T20:21:18Z</dcterms:created>
  <dcterms:modified xsi:type="dcterms:W3CDTF">2026-04-18T11:41:57Z</dcterms:modified>
</cp:coreProperties>
</file>