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6856d6197919d5/Documents/Study/CFGDegree2026/CFG-Assignments/assignment_3/"/>
    </mc:Choice>
  </mc:AlternateContent>
  <xr:revisionPtr revIDLastSave="23" documentId="8_{A2414192-E901-484B-B612-6D9395D60039}" xr6:coauthVersionLast="47" xr6:coauthVersionMax="47" xr10:uidLastSave="{A2399234-4448-4328-B3FB-AA07C3233EEE}"/>
  <bookViews>
    <workbookView xWindow="11040" yWindow="0" windowWidth="11352" windowHeight="13680" tabRatio="814" firstSheet="9" activeTab="10" xr2:uid="{383E0D47-3FB6-416F-9E60-C8CC178F38DC}"/>
  </bookViews>
  <sheets>
    <sheet name="Main" sheetId="1" r:id="rId1"/>
    <sheet name="others" sheetId="12" r:id="rId2"/>
    <sheet name="cookbook_ws" sheetId="9" r:id="rId3"/>
    <sheet name="ingredients_ws" sheetId="14" r:id="rId4"/>
    <sheet name="recipes_ws" sheetId="16" r:id="rId5"/>
    <sheet name="recipes_ingredients_ws" sheetId="18" r:id="rId6"/>
    <sheet name="stocks_ws" sheetId="21" r:id="rId7"/>
    <sheet name="cookbook_table" sheetId="10" r:id="rId8"/>
    <sheet name="ingredients_types_table" sheetId="11" r:id="rId9"/>
    <sheet name="units_table" sheetId="13" r:id="rId10"/>
    <sheet name="ingredients_table" sheetId="15" r:id="rId11"/>
    <sheet name="recipes_table" sheetId="17" r:id="rId12"/>
    <sheet name="recipes_ingredients_table" sheetId="19" r:id="rId13"/>
    <sheet name="stocks_table" sheetId="20" r:id="rId14"/>
  </sheets>
  <definedNames>
    <definedName name="_xlnm._FilterDatabase" localSheetId="0" hidden="1">Main!$A$3:$K$134</definedName>
    <definedName name="_xlnm._FilterDatabase" localSheetId="1" hidden="1">others!$G$1:$H$84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A2" i="13" l="1"/>
  <c r="A3" i="13"/>
  <c r="A4" i="13"/>
  <c r="A5" i="13"/>
  <c r="A6" i="13"/>
  <c r="A7" i="13"/>
  <c r="A8" i="13"/>
  <c r="A9" i="13"/>
  <c r="A10" i="13"/>
  <c r="A11" i="13"/>
  <c r="A12" i="13"/>
  <c r="A1" i="13"/>
  <c r="A2" i="11"/>
  <c r="A3" i="11"/>
  <c r="A4" i="11"/>
  <c r="A5" i="11"/>
  <c r="A6" i="11"/>
  <c r="A7" i="11"/>
  <c r="A8" i="11"/>
  <c r="A9" i="11"/>
  <c r="A10" i="11"/>
  <c r="A11" i="11"/>
  <c r="A12" i="11"/>
  <c r="A13" i="11"/>
  <c r="A14" i="11"/>
  <c r="A1" i="11"/>
  <c r="A10" i="10"/>
  <c r="A9" i="10"/>
  <c r="A8" i="10"/>
  <c r="A7" i="10"/>
  <c r="A6" i="10"/>
  <c r="A5" i="10"/>
  <c r="A4" i="10"/>
  <c r="A3" i="10"/>
  <c r="A2" i="10"/>
  <c r="D1" i="10"/>
  <c r="C1" i="10"/>
  <c r="B1" i="10"/>
  <c r="A1" i="10"/>
  <c r="D1" i="19"/>
  <c r="C1" i="19"/>
  <c r="B1" i="19"/>
  <c r="A1" i="19"/>
  <c r="D3" i="20"/>
  <c r="D4" i="20"/>
  <c r="D5" i="20"/>
  <c r="D6" i="20"/>
  <c r="D7" i="20"/>
  <c r="D8" i="20"/>
  <c r="D9" i="20"/>
  <c r="D10" i="20"/>
  <c r="D11" i="20"/>
  <c r="D12" i="20"/>
  <c r="D13" i="20"/>
  <c r="D14" i="20"/>
  <c r="D15" i="20"/>
  <c r="D16" i="20"/>
  <c r="D17" i="20"/>
  <c r="D18" i="20"/>
  <c r="D19" i="20"/>
  <c r="D20" i="20"/>
  <c r="D21" i="20"/>
  <c r="D22" i="20"/>
  <c r="D23" i="20"/>
  <c r="D24" i="20"/>
  <c r="D25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D40" i="20"/>
  <c r="D41" i="20"/>
  <c r="D42" i="20"/>
  <c r="D43" i="20"/>
  <c r="D44" i="20"/>
  <c r="D45" i="20"/>
  <c r="D46" i="20"/>
  <c r="D47" i="20"/>
  <c r="D48" i="20"/>
  <c r="D49" i="20"/>
  <c r="D50" i="20"/>
  <c r="D51" i="20"/>
  <c r="D52" i="20"/>
  <c r="D53" i="20"/>
  <c r="D54" i="20"/>
  <c r="D55" i="20"/>
  <c r="D56" i="20"/>
  <c r="D57" i="20"/>
  <c r="D58" i="20"/>
  <c r="D59" i="20"/>
  <c r="D60" i="20"/>
  <c r="D61" i="20"/>
  <c r="D62" i="20"/>
  <c r="D63" i="20"/>
  <c r="D64" i="20"/>
  <c r="D65" i="20"/>
  <c r="D66" i="20"/>
  <c r="D67" i="20"/>
  <c r="D68" i="20"/>
  <c r="D69" i="20"/>
  <c r="D70" i="20"/>
  <c r="D71" i="20"/>
  <c r="D72" i="20"/>
  <c r="D73" i="20"/>
  <c r="D74" i="20"/>
  <c r="D75" i="20"/>
  <c r="D76" i="20"/>
  <c r="D77" i="20"/>
  <c r="D78" i="20"/>
  <c r="D79" i="20"/>
  <c r="D80" i="20"/>
  <c r="D81" i="20"/>
  <c r="D82" i="20"/>
  <c r="D83" i="20"/>
  <c r="D84" i="20"/>
  <c r="D2" i="20"/>
  <c r="D1" i="20"/>
  <c r="C1" i="20"/>
  <c r="B1" i="20"/>
  <c r="A1" i="20"/>
  <c r="D12" i="17"/>
  <c r="A12" i="17"/>
  <c r="D11" i="17"/>
  <c r="A11" i="17"/>
  <c r="D10" i="17"/>
  <c r="A10" i="17"/>
  <c r="D9" i="17"/>
  <c r="A9" i="17"/>
  <c r="D8" i="17"/>
  <c r="A8" i="17"/>
  <c r="D7" i="17"/>
  <c r="A7" i="17"/>
  <c r="D6" i="17"/>
  <c r="A6" i="17"/>
  <c r="D5" i="17"/>
  <c r="A5" i="17"/>
  <c r="D4" i="17"/>
  <c r="A4" i="17"/>
  <c r="D3" i="17"/>
  <c r="A3" i="17"/>
  <c r="A2" i="17"/>
  <c r="D2" i="17"/>
  <c r="E1" i="17"/>
  <c r="D1" i="17"/>
  <c r="C1" i="17"/>
  <c r="B1" i="17"/>
  <c r="A1" i="17"/>
  <c r="B1" i="15"/>
  <c r="A1" i="15"/>
  <c r="F2" i="18" a="1"/>
  <c r="F2" i="18" s="1"/>
  <c r="G2" i="18" s="1"/>
  <c r="D2" i="19" s="1"/>
  <c r="E2" i="18" a="1"/>
  <c r="C115" i="19" s="1"/>
  <c r="D78" i="14"/>
  <c r="D79" i="14" s="1"/>
  <c r="D80" i="14" s="1"/>
  <c r="D81" i="14" s="1"/>
  <c r="D82" i="14" s="1"/>
  <c r="D83" i="14" s="1"/>
  <c r="D84" i="14" s="1"/>
  <c r="D4" i="14"/>
  <c r="D5" i="14" s="1"/>
  <c r="D6" i="14" s="1"/>
  <c r="D7" i="14" s="1"/>
  <c r="D8" i="14" s="1"/>
  <c r="D9" i="14" s="1"/>
  <c r="D10" i="14" s="1"/>
  <c r="D11" i="14" s="1"/>
  <c r="D12" i="14" s="1"/>
  <c r="D13" i="14" s="1"/>
  <c r="D14" i="14" s="1"/>
  <c r="D15" i="14" s="1"/>
  <c r="D16" i="14" s="1"/>
  <c r="D17" i="14" s="1"/>
  <c r="D18" i="14" s="1"/>
  <c r="D19" i="14" s="1"/>
  <c r="D20" i="14" s="1"/>
  <c r="D21" i="14" s="1"/>
  <c r="D22" i="14" s="1"/>
  <c r="D23" i="14" s="1"/>
  <c r="D24" i="14" s="1"/>
  <c r="D25" i="14" s="1"/>
  <c r="D26" i="14" s="1"/>
  <c r="D27" i="14" s="1"/>
  <c r="D28" i="14" s="1"/>
  <c r="D29" i="14" s="1"/>
  <c r="D30" i="14" s="1"/>
  <c r="D31" i="14" s="1"/>
  <c r="D32" i="14" s="1"/>
  <c r="D33" i="14" s="1"/>
  <c r="D34" i="14" s="1"/>
  <c r="D35" i="14" s="1"/>
  <c r="D36" i="14" s="1"/>
  <c r="D37" i="14" s="1"/>
  <c r="D38" i="14" s="1"/>
  <c r="D39" i="14" s="1"/>
  <c r="D40" i="14" s="1"/>
  <c r="D41" i="14" s="1"/>
  <c r="D42" i="14" s="1"/>
  <c r="D43" i="14" s="1"/>
  <c r="D44" i="14" s="1"/>
  <c r="D45" i="14" s="1"/>
  <c r="D46" i="14" s="1"/>
  <c r="D47" i="14" s="1"/>
  <c r="D48" i="14" s="1"/>
  <c r="D49" i="14" s="1"/>
  <c r="D50" i="14" s="1"/>
  <c r="D51" i="14" s="1"/>
  <c r="D52" i="14" s="1"/>
  <c r="D53" i="14" s="1"/>
  <c r="D54" i="14" s="1"/>
  <c r="D55" i="14" s="1"/>
  <c r="D56" i="14" s="1"/>
  <c r="D57" i="14" s="1"/>
  <c r="D58" i="14" s="1"/>
  <c r="D59" i="14" s="1"/>
  <c r="D60" i="14" s="1"/>
  <c r="D61" i="14" s="1"/>
  <c r="D62" i="14" s="1"/>
  <c r="D63" i="14" s="1"/>
  <c r="D64" i="14" s="1"/>
  <c r="D65" i="14" s="1"/>
  <c r="D66" i="14" s="1"/>
  <c r="D67" i="14" s="1"/>
  <c r="D68" i="14" s="1"/>
  <c r="D69" i="14" s="1"/>
  <c r="D70" i="14" s="1"/>
  <c r="D71" i="14" s="1"/>
  <c r="D72" i="14" s="1"/>
  <c r="D73" i="14" s="1"/>
  <c r="D74" i="14" s="1"/>
  <c r="D75" i="14" s="1"/>
  <c r="D76" i="14" s="1"/>
  <c r="D77" i="14" s="1"/>
  <c r="D3" i="14"/>
  <c r="C2" i="18" a="1"/>
  <c r="C2" i="18" s="1"/>
  <c r="A119" i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11" i="1"/>
  <c r="A112" i="1" s="1"/>
  <c r="A113" i="1" s="1"/>
  <c r="A114" i="1" s="1"/>
  <c r="A115" i="1" s="1"/>
  <c r="A116" i="1" s="1"/>
  <c r="A117" i="1" s="1"/>
  <c r="A98" i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87" i="1"/>
  <c r="A88" i="1" s="1"/>
  <c r="A89" i="1" s="1"/>
  <c r="A90" i="1" s="1"/>
  <c r="A91" i="1" s="1"/>
  <c r="A92" i="1" s="1"/>
  <c r="A93" i="1" s="1"/>
  <c r="A94" i="1" s="1"/>
  <c r="A95" i="1" s="1"/>
  <c r="A96" i="1" s="1"/>
  <c r="A77" i="1"/>
  <c r="A78" i="1" s="1"/>
  <c r="A79" i="1" s="1"/>
  <c r="A80" i="1" s="1"/>
  <c r="A81" i="1" s="1"/>
  <c r="A82" i="1" s="1"/>
  <c r="A83" i="1" s="1"/>
  <c r="A84" i="1" s="1"/>
  <c r="A85" i="1" s="1"/>
  <c r="A68" i="1"/>
  <c r="A69" i="1" s="1"/>
  <c r="A70" i="1" s="1"/>
  <c r="A71" i="1" s="1"/>
  <c r="A72" i="1" s="1"/>
  <c r="A73" i="1" s="1"/>
  <c r="A74" i="1" s="1"/>
  <c r="A75" i="1" s="1"/>
  <c r="A54" i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43" i="1"/>
  <c r="A44" i="1" s="1"/>
  <c r="A45" i="1" s="1"/>
  <c r="A46" i="1" s="1"/>
  <c r="A47" i="1" s="1"/>
  <c r="A48" i="1" s="1"/>
  <c r="A49" i="1" s="1"/>
  <c r="A50" i="1" s="1"/>
  <c r="A51" i="1" s="1"/>
  <c r="A52" i="1" s="1"/>
  <c r="A30" i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19" i="1"/>
  <c r="A20" i="1" s="1"/>
  <c r="A21" i="1" s="1"/>
  <c r="A22" i="1" s="1"/>
  <c r="A23" i="1" s="1"/>
  <c r="A24" i="1" s="1"/>
  <c r="A25" i="1" s="1"/>
  <c r="A26" i="1" s="1"/>
  <c r="A27" i="1" s="1"/>
  <c r="A28" i="1" s="1"/>
  <c r="A5" i="1"/>
  <c r="A6" i="1" s="1"/>
  <c r="B2" i="16"/>
  <c r="B2" i="17" s="1"/>
  <c r="E2" i="16"/>
  <c r="F2" i="16" s="1"/>
  <c r="E2" i="17" s="1"/>
  <c r="C2" i="16"/>
  <c r="C2" i="17" s="1"/>
  <c r="A2" i="14" a="1"/>
  <c r="A25" i="15" s="1"/>
  <c r="D3" i="9"/>
  <c r="D3" i="10" s="1"/>
  <c r="D4" i="9"/>
  <c r="D4" i="10" s="1"/>
  <c r="D5" i="9"/>
  <c r="D5" i="10" s="1"/>
  <c r="D6" i="9"/>
  <c r="D6" i="10" s="1"/>
  <c r="D7" i="9"/>
  <c r="D7" i="10" s="1"/>
  <c r="D8" i="9"/>
  <c r="D8" i="10" s="1"/>
  <c r="D9" i="9"/>
  <c r="D9" i="10" s="1"/>
  <c r="D10" i="9"/>
  <c r="D10" i="10" s="1"/>
  <c r="D2" i="9"/>
  <c r="D2" i="10" s="1"/>
  <c r="F10" i="9"/>
  <c r="B10" i="9" s="1"/>
  <c r="B10" i="10" s="1"/>
  <c r="F9" i="9"/>
  <c r="C9" i="9" s="1"/>
  <c r="C9" i="10" s="1"/>
  <c r="F8" i="9"/>
  <c r="B8" i="9" s="1"/>
  <c r="B8" i="10" s="1"/>
  <c r="F7" i="9"/>
  <c r="B7" i="9" s="1"/>
  <c r="B7" i="10" s="1"/>
  <c r="F6" i="9"/>
  <c r="B6" i="9" s="1"/>
  <c r="B6" i="10" s="1"/>
  <c r="F5" i="9"/>
  <c r="C5" i="9" s="1"/>
  <c r="C5" i="10" s="1"/>
  <c r="F4" i="9"/>
  <c r="B4" i="9" s="1"/>
  <c r="B4" i="10" s="1"/>
  <c r="F3" i="9"/>
  <c r="C3" i="9" s="1"/>
  <c r="C3" i="10" s="1"/>
  <c r="F2" i="9"/>
  <c r="C2" i="9" s="1"/>
  <c r="C2" i="10" s="1"/>
  <c r="C91" i="19" l="1"/>
  <c r="A37" i="15"/>
  <c r="E2" i="18"/>
  <c r="C2" i="19" s="1"/>
  <c r="C9" i="19"/>
  <c r="C17" i="19"/>
  <c r="C25" i="19"/>
  <c r="C33" i="19"/>
  <c r="C41" i="19"/>
  <c r="C49" i="19"/>
  <c r="C57" i="19"/>
  <c r="C65" i="19"/>
  <c r="C73" i="19"/>
  <c r="C81" i="19"/>
  <c r="C89" i="19"/>
  <c r="C97" i="19"/>
  <c r="C105" i="19"/>
  <c r="C113" i="19"/>
  <c r="C121" i="19"/>
  <c r="C129" i="19"/>
  <c r="C4" i="19"/>
  <c r="C12" i="19"/>
  <c r="C20" i="19"/>
  <c r="C28" i="19"/>
  <c r="C36" i="19"/>
  <c r="C44" i="19"/>
  <c r="C52" i="19"/>
  <c r="C60" i="19"/>
  <c r="C68" i="19"/>
  <c r="C76" i="19"/>
  <c r="C84" i="19"/>
  <c r="C92" i="19"/>
  <c r="C100" i="19"/>
  <c r="C108" i="19"/>
  <c r="C116" i="19"/>
  <c r="C124" i="19"/>
  <c r="C132" i="19"/>
  <c r="C7" i="19"/>
  <c r="C15" i="19"/>
  <c r="C23" i="19"/>
  <c r="C31" i="19"/>
  <c r="C39" i="19"/>
  <c r="C47" i="19"/>
  <c r="C55" i="19"/>
  <c r="C63" i="19"/>
  <c r="C71" i="19"/>
  <c r="C79" i="19"/>
  <c r="C87" i="19"/>
  <c r="C95" i="19"/>
  <c r="C103" i="19"/>
  <c r="C111" i="19"/>
  <c r="C119" i="19"/>
  <c r="C127" i="19"/>
  <c r="C10" i="19"/>
  <c r="C18" i="19"/>
  <c r="C26" i="19"/>
  <c r="C34" i="19"/>
  <c r="C42" i="19"/>
  <c r="C50" i="19"/>
  <c r="C58" i="19"/>
  <c r="C66" i="19"/>
  <c r="C74" i="19"/>
  <c r="C82" i="19"/>
  <c r="C90" i="19"/>
  <c r="C98" i="19"/>
  <c r="C106" i="19"/>
  <c r="C114" i="19"/>
  <c r="C122" i="19"/>
  <c r="C130" i="19"/>
  <c r="C5" i="19"/>
  <c r="C13" i="19"/>
  <c r="C21" i="19"/>
  <c r="C29" i="19"/>
  <c r="C37" i="19"/>
  <c r="C45" i="19"/>
  <c r="C53" i="19"/>
  <c r="C61" i="19"/>
  <c r="C69" i="19"/>
  <c r="C77" i="19"/>
  <c r="C85" i="19"/>
  <c r="C93" i="19"/>
  <c r="C101" i="19"/>
  <c r="C109" i="19"/>
  <c r="C117" i="19"/>
  <c r="C125" i="19"/>
  <c r="C8" i="19"/>
  <c r="C16" i="19"/>
  <c r="C24" i="19"/>
  <c r="C32" i="19"/>
  <c r="C40" i="19"/>
  <c r="C48" i="19"/>
  <c r="C56" i="19"/>
  <c r="C64" i="19"/>
  <c r="C72" i="19"/>
  <c r="C80" i="19"/>
  <c r="C88" i="19"/>
  <c r="C96" i="19"/>
  <c r="C104" i="19"/>
  <c r="C112" i="19"/>
  <c r="C120" i="19"/>
  <c r="C128" i="19"/>
  <c r="C30" i="19"/>
  <c r="C62" i="19"/>
  <c r="C94" i="19"/>
  <c r="C126" i="19"/>
  <c r="C11" i="19"/>
  <c r="C43" i="19"/>
  <c r="C75" i="19"/>
  <c r="C107" i="19"/>
  <c r="C22" i="19"/>
  <c r="C54" i="19"/>
  <c r="C86" i="19"/>
  <c r="C118" i="19"/>
  <c r="C3" i="19"/>
  <c r="C35" i="19"/>
  <c r="C67" i="19"/>
  <c r="C99" i="19"/>
  <c r="C131" i="19"/>
  <c r="C14" i="19"/>
  <c r="C46" i="19"/>
  <c r="C78" i="19"/>
  <c r="C110" i="19"/>
  <c r="A74" i="15"/>
  <c r="A66" i="15"/>
  <c r="A50" i="15"/>
  <c r="A34" i="15"/>
  <c r="A26" i="15"/>
  <c r="C51" i="19"/>
  <c r="C27" i="19"/>
  <c r="A17" i="15"/>
  <c r="A8" i="15"/>
  <c r="C19" i="19"/>
  <c r="A77" i="15"/>
  <c r="A69" i="15"/>
  <c r="A61" i="15"/>
  <c r="A53" i="15"/>
  <c r="A45" i="15"/>
  <c r="A29" i="15"/>
  <c r="A21" i="15"/>
  <c r="A12" i="15"/>
  <c r="A18" i="15"/>
  <c r="A9" i="15"/>
  <c r="C83" i="19"/>
  <c r="C59" i="19"/>
  <c r="A82" i="15"/>
  <c r="A58" i="15"/>
  <c r="A42" i="15"/>
  <c r="A81" i="15"/>
  <c r="A73" i="15"/>
  <c r="A65" i="15"/>
  <c r="A57" i="15"/>
  <c r="A49" i="15"/>
  <c r="A41" i="15"/>
  <c r="A33" i="15"/>
  <c r="C102" i="19"/>
  <c r="C70" i="19"/>
  <c r="A2" i="14"/>
  <c r="A2" i="21" s="1" a="1"/>
  <c r="A3" i="15"/>
  <c r="A7" i="15"/>
  <c r="A11" i="15"/>
  <c r="A15" i="15"/>
  <c r="A19" i="15"/>
  <c r="A5" i="15"/>
  <c r="A14" i="15"/>
  <c r="A23" i="15"/>
  <c r="A27" i="15"/>
  <c r="A31" i="15"/>
  <c r="A35" i="15"/>
  <c r="A39" i="15"/>
  <c r="A43" i="15"/>
  <c r="A47" i="15"/>
  <c r="A51" i="15"/>
  <c r="A55" i="15"/>
  <c r="A59" i="15"/>
  <c r="A63" i="15"/>
  <c r="A67" i="15"/>
  <c r="A71" i="15"/>
  <c r="A75" i="15"/>
  <c r="A79" i="15"/>
  <c r="A83" i="15"/>
  <c r="A10" i="15"/>
  <c r="A6" i="15"/>
  <c r="A20" i="15"/>
  <c r="A24" i="15"/>
  <c r="A28" i="15"/>
  <c r="A32" i="15"/>
  <c r="A36" i="15"/>
  <c r="A40" i="15"/>
  <c r="A44" i="15"/>
  <c r="A48" i="15"/>
  <c r="A52" i="15"/>
  <c r="A56" i="15"/>
  <c r="A60" i="15"/>
  <c r="A64" i="15"/>
  <c r="A68" i="15"/>
  <c r="A72" i="15"/>
  <c r="A76" i="15"/>
  <c r="A80" i="15"/>
  <c r="A84" i="15"/>
  <c r="A16" i="15"/>
  <c r="A78" i="15"/>
  <c r="A70" i="15"/>
  <c r="A62" i="15"/>
  <c r="A54" i="15"/>
  <c r="A46" i="15"/>
  <c r="A38" i="15"/>
  <c r="A30" i="15"/>
  <c r="A22" i="15"/>
  <c r="A13" i="15"/>
  <c r="A4" i="15"/>
  <c r="C38" i="19"/>
  <c r="C123" i="19"/>
  <c r="C6" i="19"/>
  <c r="G106" i="18"/>
  <c r="D106" i="19" s="1"/>
  <c r="G58" i="18"/>
  <c r="D58" i="19" s="1"/>
  <c r="G129" i="18"/>
  <c r="D129" i="19" s="1"/>
  <c r="G121" i="18"/>
  <c r="D121" i="19" s="1"/>
  <c r="G113" i="18"/>
  <c r="D113" i="19" s="1"/>
  <c r="G105" i="18"/>
  <c r="D105" i="19" s="1"/>
  <c r="G97" i="18"/>
  <c r="D97" i="19" s="1"/>
  <c r="G89" i="18"/>
  <c r="D89" i="19" s="1"/>
  <c r="G81" i="18"/>
  <c r="D81" i="19" s="1"/>
  <c r="G73" i="18"/>
  <c r="D73" i="19" s="1"/>
  <c r="G65" i="18"/>
  <c r="D65" i="19" s="1"/>
  <c r="G57" i="18"/>
  <c r="D57" i="19" s="1"/>
  <c r="G49" i="18"/>
  <c r="D49" i="19" s="1"/>
  <c r="G41" i="18"/>
  <c r="D41" i="19" s="1"/>
  <c r="G33" i="18"/>
  <c r="D33" i="19" s="1"/>
  <c r="G25" i="18"/>
  <c r="D25" i="19" s="1"/>
  <c r="G17" i="18"/>
  <c r="D17" i="19" s="1"/>
  <c r="G9" i="18"/>
  <c r="D9" i="19" s="1"/>
  <c r="G128" i="18"/>
  <c r="D128" i="19" s="1"/>
  <c r="G120" i="18"/>
  <c r="D120" i="19" s="1"/>
  <c r="G112" i="18"/>
  <c r="D112" i="19" s="1"/>
  <c r="G104" i="18"/>
  <c r="D104" i="19" s="1"/>
  <c r="G96" i="18"/>
  <c r="D96" i="19" s="1"/>
  <c r="G88" i="18"/>
  <c r="D88" i="19" s="1"/>
  <c r="G80" i="18"/>
  <c r="D80" i="19" s="1"/>
  <c r="G72" i="18"/>
  <c r="D72" i="19" s="1"/>
  <c r="G64" i="18"/>
  <c r="D64" i="19" s="1"/>
  <c r="G56" i="18"/>
  <c r="D56" i="19" s="1"/>
  <c r="G48" i="18"/>
  <c r="D48" i="19" s="1"/>
  <c r="G40" i="18"/>
  <c r="D40" i="19" s="1"/>
  <c r="G32" i="18"/>
  <c r="D32" i="19" s="1"/>
  <c r="G24" i="18"/>
  <c r="D24" i="19" s="1"/>
  <c r="G16" i="18"/>
  <c r="D16" i="19" s="1"/>
  <c r="G8" i="18"/>
  <c r="D8" i="19" s="1"/>
  <c r="G127" i="18"/>
  <c r="D127" i="19" s="1"/>
  <c r="G119" i="18"/>
  <c r="D119" i="19" s="1"/>
  <c r="G111" i="18"/>
  <c r="D111" i="19" s="1"/>
  <c r="G103" i="18"/>
  <c r="D103" i="19" s="1"/>
  <c r="G95" i="18"/>
  <c r="D95" i="19" s="1"/>
  <c r="G87" i="18"/>
  <c r="D87" i="19" s="1"/>
  <c r="G79" i="18"/>
  <c r="D79" i="19" s="1"/>
  <c r="G71" i="18"/>
  <c r="D71" i="19" s="1"/>
  <c r="G63" i="18"/>
  <c r="D63" i="19" s="1"/>
  <c r="G55" i="18"/>
  <c r="D55" i="19" s="1"/>
  <c r="G47" i="18"/>
  <c r="D47" i="19" s="1"/>
  <c r="G39" i="18"/>
  <c r="D39" i="19" s="1"/>
  <c r="G31" i="18"/>
  <c r="D31" i="19" s="1"/>
  <c r="G23" i="18"/>
  <c r="D23" i="19" s="1"/>
  <c r="G15" i="18"/>
  <c r="D15" i="19" s="1"/>
  <c r="G7" i="18"/>
  <c r="D7" i="19" s="1"/>
  <c r="G126" i="18"/>
  <c r="D126" i="19" s="1"/>
  <c r="G118" i="18"/>
  <c r="D118" i="19" s="1"/>
  <c r="G110" i="18"/>
  <c r="D110" i="19" s="1"/>
  <c r="G102" i="18"/>
  <c r="D102" i="19" s="1"/>
  <c r="G94" i="18"/>
  <c r="D94" i="19" s="1"/>
  <c r="G86" i="18"/>
  <c r="D86" i="19" s="1"/>
  <c r="G78" i="18"/>
  <c r="D78" i="19" s="1"/>
  <c r="G70" i="18"/>
  <c r="D70" i="19" s="1"/>
  <c r="G62" i="18"/>
  <c r="D62" i="19" s="1"/>
  <c r="G54" i="18"/>
  <c r="D54" i="19" s="1"/>
  <c r="G46" i="18"/>
  <c r="D46" i="19" s="1"/>
  <c r="G38" i="18"/>
  <c r="D38" i="19" s="1"/>
  <c r="G30" i="18"/>
  <c r="D30" i="19" s="1"/>
  <c r="G22" i="18"/>
  <c r="D22" i="19" s="1"/>
  <c r="G14" i="18"/>
  <c r="D14" i="19" s="1"/>
  <c r="G6" i="18"/>
  <c r="D6" i="19" s="1"/>
  <c r="G122" i="18"/>
  <c r="D122" i="19" s="1"/>
  <c r="G90" i="18"/>
  <c r="D90" i="19" s="1"/>
  <c r="G66" i="18"/>
  <c r="D66" i="19" s="1"/>
  <c r="G34" i="18"/>
  <c r="D34" i="19" s="1"/>
  <c r="G10" i="18"/>
  <c r="D10" i="19" s="1"/>
  <c r="G125" i="18"/>
  <c r="D125" i="19" s="1"/>
  <c r="G117" i="18"/>
  <c r="D117" i="19" s="1"/>
  <c r="G109" i="18"/>
  <c r="D109" i="19" s="1"/>
  <c r="G101" i="18"/>
  <c r="D101" i="19" s="1"/>
  <c r="G93" i="18"/>
  <c r="D93" i="19" s="1"/>
  <c r="G85" i="18"/>
  <c r="D85" i="19" s="1"/>
  <c r="G77" i="18"/>
  <c r="D77" i="19" s="1"/>
  <c r="G69" i="18"/>
  <c r="D69" i="19" s="1"/>
  <c r="G61" i="18"/>
  <c r="D61" i="19" s="1"/>
  <c r="G53" i="18"/>
  <c r="D53" i="19" s="1"/>
  <c r="G45" i="18"/>
  <c r="D45" i="19" s="1"/>
  <c r="G37" i="18"/>
  <c r="D37" i="19" s="1"/>
  <c r="G29" i="18"/>
  <c r="D29" i="19" s="1"/>
  <c r="G21" i="18"/>
  <c r="D21" i="19" s="1"/>
  <c r="G13" i="18"/>
  <c r="D13" i="19" s="1"/>
  <c r="G5" i="18"/>
  <c r="D5" i="19" s="1"/>
  <c r="G130" i="18"/>
  <c r="D130" i="19" s="1"/>
  <c r="G98" i="18"/>
  <c r="D98" i="19" s="1"/>
  <c r="G74" i="18"/>
  <c r="D74" i="19" s="1"/>
  <c r="G42" i="18"/>
  <c r="D42" i="19" s="1"/>
  <c r="G18" i="18"/>
  <c r="D18" i="19" s="1"/>
  <c r="G132" i="18"/>
  <c r="D132" i="19" s="1"/>
  <c r="G124" i="18"/>
  <c r="D124" i="19" s="1"/>
  <c r="G116" i="18"/>
  <c r="D116" i="19" s="1"/>
  <c r="G108" i="18"/>
  <c r="D108" i="19" s="1"/>
  <c r="G100" i="18"/>
  <c r="D100" i="19" s="1"/>
  <c r="G92" i="18"/>
  <c r="D92" i="19" s="1"/>
  <c r="G84" i="18"/>
  <c r="D84" i="19" s="1"/>
  <c r="G76" i="18"/>
  <c r="D76" i="19" s="1"/>
  <c r="G68" i="18"/>
  <c r="D68" i="19" s="1"/>
  <c r="G60" i="18"/>
  <c r="D60" i="19" s="1"/>
  <c r="G52" i="18"/>
  <c r="D52" i="19" s="1"/>
  <c r="G44" i="18"/>
  <c r="D44" i="19" s="1"/>
  <c r="G36" i="18"/>
  <c r="D36" i="19" s="1"/>
  <c r="G28" i="18"/>
  <c r="D28" i="19" s="1"/>
  <c r="G20" i="18"/>
  <c r="D20" i="19" s="1"/>
  <c r="G12" i="18"/>
  <c r="D12" i="19" s="1"/>
  <c r="G4" i="18"/>
  <c r="D4" i="19" s="1"/>
  <c r="G114" i="18"/>
  <c r="D114" i="19" s="1"/>
  <c r="G82" i="18"/>
  <c r="D82" i="19" s="1"/>
  <c r="G50" i="18"/>
  <c r="D50" i="19" s="1"/>
  <c r="G26" i="18"/>
  <c r="D26" i="19" s="1"/>
  <c r="G131" i="18"/>
  <c r="D131" i="19" s="1"/>
  <c r="G123" i="18"/>
  <c r="D123" i="19" s="1"/>
  <c r="G115" i="18"/>
  <c r="D115" i="19" s="1"/>
  <c r="G107" i="18"/>
  <c r="D107" i="19" s="1"/>
  <c r="G99" i="18"/>
  <c r="D99" i="19" s="1"/>
  <c r="G91" i="18"/>
  <c r="D91" i="19" s="1"/>
  <c r="G83" i="18"/>
  <c r="D83" i="19" s="1"/>
  <c r="G75" i="18"/>
  <c r="D75" i="19" s="1"/>
  <c r="G67" i="18"/>
  <c r="D67" i="19" s="1"/>
  <c r="G59" i="18"/>
  <c r="D59" i="19" s="1"/>
  <c r="G51" i="18"/>
  <c r="D51" i="19" s="1"/>
  <c r="G43" i="18"/>
  <c r="D43" i="19" s="1"/>
  <c r="G35" i="18"/>
  <c r="D35" i="19" s="1"/>
  <c r="G27" i="18"/>
  <c r="D27" i="19" s="1"/>
  <c r="G19" i="18"/>
  <c r="D19" i="19" s="1"/>
  <c r="G11" i="18"/>
  <c r="D11" i="19" s="1"/>
  <c r="G3" i="18"/>
  <c r="D3" i="19" s="1"/>
  <c r="C8" i="9"/>
  <c r="C8" i="10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D2" i="18"/>
  <c r="B2" i="19" s="1"/>
  <c r="D105" i="18"/>
  <c r="B105" i="19" s="1"/>
  <c r="D73" i="18"/>
  <c r="B73" i="19" s="1"/>
  <c r="D57" i="18"/>
  <c r="B57" i="19" s="1"/>
  <c r="D9" i="18"/>
  <c r="B9" i="19" s="1"/>
  <c r="D128" i="18"/>
  <c r="B128" i="19" s="1"/>
  <c r="D120" i="18"/>
  <c r="B120" i="19" s="1"/>
  <c r="D112" i="18"/>
  <c r="B112" i="19" s="1"/>
  <c r="D104" i="18"/>
  <c r="B104" i="19" s="1"/>
  <c r="D96" i="18"/>
  <c r="B96" i="19" s="1"/>
  <c r="D88" i="18"/>
  <c r="B88" i="19" s="1"/>
  <c r="D80" i="18"/>
  <c r="B80" i="19" s="1"/>
  <c r="D72" i="18"/>
  <c r="B72" i="19" s="1"/>
  <c r="D64" i="18"/>
  <c r="B64" i="19" s="1"/>
  <c r="D56" i="18"/>
  <c r="B56" i="19" s="1"/>
  <c r="D48" i="18"/>
  <c r="B48" i="19" s="1"/>
  <c r="D40" i="18"/>
  <c r="B40" i="19" s="1"/>
  <c r="D32" i="18"/>
  <c r="B32" i="19" s="1"/>
  <c r="D24" i="18"/>
  <c r="B24" i="19" s="1"/>
  <c r="D16" i="18"/>
  <c r="B16" i="19" s="1"/>
  <c r="D8" i="18"/>
  <c r="B8" i="19" s="1"/>
  <c r="D106" i="18"/>
  <c r="B106" i="19" s="1"/>
  <c r="D66" i="18"/>
  <c r="B66" i="19" s="1"/>
  <c r="D18" i="18"/>
  <c r="B18" i="19" s="1"/>
  <c r="D89" i="18"/>
  <c r="B89" i="19" s="1"/>
  <c r="D49" i="18"/>
  <c r="B49" i="19" s="1"/>
  <c r="D127" i="18"/>
  <c r="B127" i="19" s="1"/>
  <c r="D119" i="18"/>
  <c r="B119" i="19" s="1"/>
  <c r="D111" i="18"/>
  <c r="B111" i="19" s="1"/>
  <c r="D103" i="18"/>
  <c r="B103" i="19" s="1"/>
  <c r="D95" i="18"/>
  <c r="B95" i="19" s="1"/>
  <c r="D87" i="18"/>
  <c r="B87" i="19" s="1"/>
  <c r="D79" i="18"/>
  <c r="B79" i="19" s="1"/>
  <c r="D71" i="18"/>
  <c r="B71" i="19" s="1"/>
  <c r="D63" i="18"/>
  <c r="B63" i="19" s="1"/>
  <c r="D55" i="18"/>
  <c r="B55" i="19" s="1"/>
  <c r="D47" i="18"/>
  <c r="B47" i="19" s="1"/>
  <c r="D39" i="18"/>
  <c r="B39" i="19" s="1"/>
  <c r="D31" i="18"/>
  <c r="B31" i="19" s="1"/>
  <c r="D23" i="18"/>
  <c r="B23" i="19" s="1"/>
  <c r="D15" i="18"/>
  <c r="B15" i="19" s="1"/>
  <c r="D7" i="18"/>
  <c r="B7" i="19" s="1"/>
  <c r="D114" i="18"/>
  <c r="B114" i="19" s="1"/>
  <c r="D74" i="18"/>
  <c r="B74" i="19" s="1"/>
  <c r="D34" i="18"/>
  <c r="B34" i="19" s="1"/>
  <c r="D113" i="18"/>
  <c r="B113" i="19" s="1"/>
  <c r="D41" i="18"/>
  <c r="B41" i="19" s="1"/>
  <c r="D126" i="18"/>
  <c r="B126" i="19" s="1"/>
  <c r="D118" i="18"/>
  <c r="B118" i="19" s="1"/>
  <c r="D110" i="18"/>
  <c r="B110" i="19" s="1"/>
  <c r="D102" i="18"/>
  <c r="B102" i="19" s="1"/>
  <c r="D94" i="18"/>
  <c r="B94" i="19" s="1"/>
  <c r="D86" i="18"/>
  <c r="B86" i="19" s="1"/>
  <c r="D78" i="18"/>
  <c r="B78" i="19" s="1"/>
  <c r="D70" i="18"/>
  <c r="B70" i="19" s="1"/>
  <c r="D62" i="18"/>
  <c r="B62" i="19" s="1"/>
  <c r="D54" i="18"/>
  <c r="B54" i="19" s="1"/>
  <c r="D46" i="18"/>
  <c r="B46" i="19" s="1"/>
  <c r="D38" i="18"/>
  <c r="B38" i="19" s="1"/>
  <c r="D30" i="18"/>
  <c r="B30" i="19" s="1"/>
  <c r="D22" i="18"/>
  <c r="B22" i="19" s="1"/>
  <c r="D14" i="18"/>
  <c r="B14" i="19" s="1"/>
  <c r="D6" i="18"/>
  <c r="B6" i="19" s="1"/>
  <c r="D90" i="18"/>
  <c r="B90" i="19" s="1"/>
  <c r="D26" i="18"/>
  <c r="B26" i="19" s="1"/>
  <c r="D97" i="18"/>
  <c r="B97" i="19" s="1"/>
  <c r="D33" i="18"/>
  <c r="B33" i="19" s="1"/>
  <c r="D125" i="18"/>
  <c r="B125" i="19" s="1"/>
  <c r="D117" i="18"/>
  <c r="B117" i="19" s="1"/>
  <c r="D109" i="18"/>
  <c r="B109" i="19" s="1"/>
  <c r="D101" i="18"/>
  <c r="B101" i="19" s="1"/>
  <c r="D93" i="18"/>
  <c r="B93" i="19" s="1"/>
  <c r="D85" i="18"/>
  <c r="B85" i="19" s="1"/>
  <c r="D77" i="18"/>
  <c r="B77" i="19" s="1"/>
  <c r="D69" i="18"/>
  <c r="B69" i="19" s="1"/>
  <c r="D61" i="18"/>
  <c r="B61" i="19" s="1"/>
  <c r="D53" i="18"/>
  <c r="B53" i="19" s="1"/>
  <c r="D45" i="18"/>
  <c r="B45" i="19" s="1"/>
  <c r="D37" i="18"/>
  <c r="B37" i="19" s="1"/>
  <c r="D29" i="18"/>
  <c r="B29" i="19" s="1"/>
  <c r="D21" i="18"/>
  <c r="B21" i="19" s="1"/>
  <c r="D13" i="18"/>
  <c r="B13" i="19" s="1"/>
  <c r="D5" i="18"/>
  <c r="B5" i="19" s="1"/>
  <c r="D122" i="18"/>
  <c r="B122" i="19" s="1"/>
  <c r="D98" i="18"/>
  <c r="B98" i="19" s="1"/>
  <c r="D58" i="18"/>
  <c r="B58" i="19" s="1"/>
  <c r="D50" i="18"/>
  <c r="B50" i="19" s="1"/>
  <c r="D10" i="18"/>
  <c r="B10" i="19" s="1"/>
  <c r="D129" i="18"/>
  <c r="B129" i="19" s="1"/>
  <c r="D81" i="18"/>
  <c r="B81" i="19" s="1"/>
  <c r="D65" i="18"/>
  <c r="B65" i="19" s="1"/>
  <c r="D17" i="18"/>
  <c r="B17" i="19" s="1"/>
  <c r="D132" i="18"/>
  <c r="B132" i="19" s="1"/>
  <c r="D124" i="18"/>
  <c r="B124" i="19" s="1"/>
  <c r="D116" i="18"/>
  <c r="B116" i="19" s="1"/>
  <c r="D108" i="18"/>
  <c r="B108" i="19" s="1"/>
  <c r="D100" i="18"/>
  <c r="B100" i="19" s="1"/>
  <c r="D92" i="18"/>
  <c r="B92" i="19" s="1"/>
  <c r="D84" i="18"/>
  <c r="B84" i="19" s="1"/>
  <c r="D76" i="18"/>
  <c r="B76" i="19" s="1"/>
  <c r="D68" i="18"/>
  <c r="B68" i="19" s="1"/>
  <c r="D60" i="18"/>
  <c r="B60" i="19" s="1"/>
  <c r="D52" i="18"/>
  <c r="B52" i="19" s="1"/>
  <c r="D44" i="18"/>
  <c r="B44" i="19" s="1"/>
  <c r="D36" i="18"/>
  <c r="B36" i="19" s="1"/>
  <c r="D28" i="18"/>
  <c r="B28" i="19" s="1"/>
  <c r="D20" i="18"/>
  <c r="B20" i="19" s="1"/>
  <c r="D12" i="18"/>
  <c r="B12" i="19" s="1"/>
  <c r="D4" i="18"/>
  <c r="B4" i="19" s="1"/>
  <c r="D130" i="18"/>
  <c r="B130" i="19" s="1"/>
  <c r="D82" i="18"/>
  <c r="B82" i="19" s="1"/>
  <c r="D42" i="18"/>
  <c r="B42" i="19" s="1"/>
  <c r="D121" i="18"/>
  <c r="B121" i="19" s="1"/>
  <c r="D25" i="18"/>
  <c r="B25" i="19" s="1"/>
  <c r="D131" i="18"/>
  <c r="B131" i="19" s="1"/>
  <c r="D123" i="18"/>
  <c r="B123" i="19" s="1"/>
  <c r="D115" i="18"/>
  <c r="B115" i="19" s="1"/>
  <c r="D107" i="18"/>
  <c r="B107" i="19" s="1"/>
  <c r="D99" i="18"/>
  <c r="B99" i="19" s="1"/>
  <c r="D91" i="18"/>
  <c r="B91" i="19" s="1"/>
  <c r="D83" i="18"/>
  <c r="B83" i="19" s="1"/>
  <c r="D75" i="18"/>
  <c r="B75" i="19" s="1"/>
  <c r="D67" i="18"/>
  <c r="B67" i="19" s="1"/>
  <c r="D59" i="18"/>
  <c r="B59" i="19" s="1"/>
  <c r="D51" i="18"/>
  <c r="B51" i="19" s="1"/>
  <c r="D43" i="18"/>
  <c r="B43" i="19" s="1"/>
  <c r="D35" i="18"/>
  <c r="B35" i="19" s="1"/>
  <c r="D27" i="18"/>
  <c r="B27" i="19" s="1"/>
  <c r="D19" i="18"/>
  <c r="B19" i="19" s="1"/>
  <c r="D11" i="18"/>
  <c r="B11" i="19" s="1"/>
  <c r="D3" i="18"/>
  <c r="B3" i="19" s="1"/>
  <c r="C10" i="9"/>
  <c r="C10" i="10" s="1"/>
  <c r="B9" i="9"/>
  <c r="B9" i="10" s="1"/>
  <c r="B3" i="9"/>
  <c r="B3" i="10" s="1"/>
  <c r="B2" i="9"/>
  <c r="B2" i="10" s="1"/>
  <c r="B82" i="14"/>
  <c r="C82" i="14" s="1"/>
  <c r="B82" i="15" s="1"/>
  <c r="B72" i="14"/>
  <c r="C72" i="14" s="1"/>
  <c r="B72" i="15" s="1"/>
  <c r="B60" i="14"/>
  <c r="C60" i="14" s="1"/>
  <c r="B60" i="15" s="1"/>
  <c r="B50" i="14"/>
  <c r="C50" i="14" s="1"/>
  <c r="B50" i="15" s="1"/>
  <c r="B40" i="14"/>
  <c r="C40" i="14" s="1"/>
  <c r="B40" i="15" s="1"/>
  <c r="B28" i="14"/>
  <c r="C28" i="14" s="1"/>
  <c r="B28" i="15" s="1"/>
  <c r="B18" i="14"/>
  <c r="C18" i="14" s="1"/>
  <c r="B18" i="15" s="1"/>
  <c r="B8" i="14"/>
  <c r="C8" i="14" s="1"/>
  <c r="B8" i="15" s="1"/>
  <c r="B63" i="14"/>
  <c r="C63" i="14" s="1"/>
  <c r="B63" i="15" s="1"/>
  <c r="B31" i="14"/>
  <c r="C31" i="14" s="1"/>
  <c r="B31" i="15" s="1"/>
  <c r="B68" i="14"/>
  <c r="C68" i="14" s="1"/>
  <c r="B68" i="15" s="1"/>
  <c r="B26" i="14"/>
  <c r="C26" i="14" s="1"/>
  <c r="B26" i="15" s="1"/>
  <c r="B16" i="14"/>
  <c r="C16" i="14" s="1"/>
  <c r="B16" i="15" s="1"/>
  <c r="B23" i="14"/>
  <c r="C23" i="14" s="1"/>
  <c r="B23" i="15" s="1"/>
  <c r="B13" i="14"/>
  <c r="C13" i="14" s="1"/>
  <c r="B13" i="15" s="1"/>
  <c r="C6" i="9"/>
  <c r="C6" i="10" s="1"/>
  <c r="B81" i="14"/>
  <c r="C81" i="14" s="1"/>
  <c r="B81" i="15" s="1"/>
  <c r="B69" i="14"/>
  <c r="C69" i="14" s="1"/>
  <c r="B69" i="15" s="1"/>
  <c r="B59" i="14"/>
  <c r="C59" i="14" s="1"/>
  <c r="B59" i="15" s="1"/>
  <c r="B49" i="14"/>
  <c r="C49" i="14" s="1"/>
  <c r="B49" i="15" s="1"/>
  <c r="B37" i="14"/>
  <c r="C37" i="14" s="1"/>
  <c r="B37" i="15" s="1"/>
  <c r="B27" i="14"/>
  <c r="C27" i="14" s="1"/>
  <c r="B27" i="15" s="1"/>
  <c r="B17" i="14"/>
  <c r="C17" i="14" s="1"/>
  <c r="B17" i="15" s="1"/>
  <c r="B5" i="14"/>
  <c r="C5" i="14" s="1"/>
  <c r="B5" i="15" s="1"/>
  <c r="B62" i="14"/>
  <c r="C62" i="14" s="1"/>
  <c r="B62" i="15" s="1"/>
  <c r="B30" i="14"/>
  <c r="C30" i="14" s="1"/>
  <c r="B30" i="15" s="1"/>
  <c r="B76" i="14"/>
  <c r="C76" i="14" s="1"/>
  <c r="B76" i="15" s="1"/>
  <c r="B66" i="14"/>
  <c r="C66" i="14" s="1"/>
  <c r="B66" i="15" s="1"/>
  <c r="B56" i="14"/>
  <c r="C56" i="14" s="1"/>
  <c r="B56" i="15" s="1"/>
  <c r="B44" i="14"/>
  <c r="C44" i="14" s="1"/>
  <c r="B44" i="15" s="1"/>
  <c r="B34" i="14"/>
  <c r="C34" i="14" s="1"/>
  <c r="B34" i="15" s="1"/>
  <c r="B24" i="14"/>
  <c r="C24" i="14" s="1"/>
  <c r="B24" i="15" s="1"/>
  <c r="B12" i="14"/>
  <c r="C12" i="14" s="1"/>
  <c r="B12" i="15" s="1"/>
  <c r="B79" i="14"/>
  <c r="C79" i="14" s="1"/>
  <c r="B79" i="15" s="1"/>
  <c r="B47" i="14"/>
  <c r="C47" i="14" s="1"/>
  <c r="B47" i="15" s="1"/>
  <c r="B15" i="14"/>
  <c r="C15" i="14" s="1"/>
  <c r="B15" i="15" s="1"/>
  <c r="B36" i="14"/>
  <c r="C36" i="14" s="1"/>
  <c r="B36" i="15" s="1"/>
  <c r="B67" i="14"/>
  <c r="C67" i="14" s="1"/>
  <c r="B67" i="15" s="1"/>
  <c r="B35" i="14"/>
  <c r="C35" i="14" s="1"/>
  <c r="B35" i="15" s="1"/>
  <c r="B54" i="14"/>
  <c r="C54" i="14" s="1"/>
  <c r="B54" i="15" s="1"/>
  <c r="B5" i="9"/>
  <c r="B5" i="10" s="1"/>
  <c r="C7" i="9"/>
  <c r="C7" i="10" s="1"/>
  <c r="B75" i="14"/>
  <c r="C75" i="14" s="1"/>
  <c r="B75" i="15" s="1"/>
  <c r="B65" i="14"/>
  <c r="C65" i="14" s="1"/>
  <c r="B65" i="15" s="1"/>
  <c r="B53" i="14"/>
  <c r="C53" i="14" s="1"/>
  <c r="B53" i="15" s="1"/>
  <c r="B43" i="14"/>
  <c r="C43" i="14" s="1"/>
  <c r="B43" i="15" s="1"/>
  <c r="B33" i="14"/>
  <c r="C33" i="14" s="1"/>
  <c r="B33" i="15" s="1"/>
  <c r="B21" i="14"/>
  <c r="C21" i="14" s="1"/>
  <c r="B21" i="15" s="1"/>
  <c r="B11" i="14"/>
  <c r="C11" i="14" s="1"/>
  <c r="B11" i="15" s="1"/>
  <c r="B78" i="14"/>
  <c r="C78" i="14" s="1"/>
  <c r="B78" i="15" s="1"/>
  <c r="B46" i="14"/>
  <c r="C46" i="14" s="1"/>
  <c r="B46" i="15" s="1"/>
  <c r="B14" i="14"/>
  <c r="C14" i="14" s="1"/>
  <c r="B14" i="15" s="1"/>
  <c r="B80" i="14"/>
  <c r="C80" i="14" s="1"/>
  <c r="B80" i="15" s="1"/>
  <c r="B48" i="14"/>
  <c r="C48" i="14" s="1"/>
  <c r="B48" i="15" s="1"/>
  <c r="B55" i="14"/>
  <c r="C55" i="14" s="1"/>
  <c r="B55" i="15" s="1"/>
  <c r="B77" i="14"/>
  <c r="C77" i="14" s="1"/>
  <c r="B77" i="15" s="1"/>
  <c r="B45" i="14"/>
  <c r="C45" i="14" s="1"/>
  <c r="B45" i="15" s="1"/>
  <c r="B25" i="14"/>
  <c r="C25" i="14" s="1"/>
  <c r="B25" i="15" s="1"/>
  <c r="B22" i="14"/>
  <c r="C22" i="14" s="1"/>
  <c r="B22" i="15" s="1"/>
  <c r="C4" i="9"/>
  <c r="C4" i="10" s="1"/>
  <c r="B84" i="14"/>
  <c r="C84" i="14" s="1"/>
  <c r="B84" i="15" s="1"/>
  <c r="B74" i="14"/>
  <c r="C74" i="14" s="1"/>
  <c r="B74" i="15" s="1"/>
  <c r="B64" i="14"/>
  <c r="C64" i="14" s="1"/>
  <c r="B64" i="15" s="1"/>
  <c r="B52" i="14"/>
  <c r="C52" i="14" s="1"/>
  <c r="B52" i="15" s="1"/>
  <c r="B42" i="14"/>
  <c r="C42" i="14" s="1"/>
  <c r="B42" i="15" s="1"/>
  <c r="B32" i="14"/>
  <c r="C32" i="14" s="1"/>
  <c r="B32" i="15" s="1"/>
  <c r="B20" i="14"/>
  <c r="C20" i="14" s="1"/>
  <c r="B20" i="15" s="1"/>
  <c r="B10" i="14"/>
  <c r="C10" i="14" s="1"/>
  <c r="B10" i="15" s="1"/>
  <c r="B71" i="14"/>
  <c r="C71" i="14" s="1"/>
  <c r="B71" i="15" s="1"/>
  <c r="B39" i="14"/>
  <c r="C39" i="14" s="1"/>
  <c r="B39" i="15" s="1"/>
  <c r="B7" i="14"/>
  <c r="C7" i="14" s="1"/>
  <c r="B7" i="15" s="1"/>
  <c r="B58" i="14"/>
  <c r="C58" i="14" s="1"/>
  <c r="B58" i="15" s="1"/>
  <c r="B4" i="14"/>
  <c r="C4" i="14" s="1"/>
  <c r="B4" i="15" s="1"/>
  <c r="B57" i="14"/>
  <c r="C57" i="14" s="1"/>
  <c r="B57" i="15" s="1"/>
  <c r="B3" i="14"/>
  <c r="C3" i="14" s="1"/>
  <c r="B3" i="15" s="1"/>
  <c r="B83" i="14"/>
  <c r="C83" i="14" s="1"/>
  <c r="B83" i="15" s="1"/>
  <c r="B73" i="14"/>
  <c r="C73" i="14" s="1"/>
  <c r="B73" i="15" s="1"/>
  <c r="B61" i="14"/>
  <c r="C61" i="14" s="1"/>
  <c r="B61" i="15" s="1"/>
  <c r="B51" i="14"/>
  <c r="C51" i="14" s="1"/>
  <c r="B51" i="15" s="1"/>
  <c r="B41" i="14"/>
  <c r="C41" i="14" s="1"/>
  <c r="B41" i="15" s="1"/>
  <c r="B29" i="14"/>
  <c r="C29" i="14" s="1"/>
  <c r="B29" i="15" s="1"/>
  <c r="B19" i="14"/>
  <c r="C19" i="14" s="1"/>
  <c r="B19" i="15" s="1"/>
  <c r="B9" i="14"/>
  <c r="C9" i="14" s="1"/>
  <c r="B9" i="15" s="1"/>
  <c r="B70" i="14"/>
  <c r="C70" i="14" s="1"/>
  <c r="B70" i="15" s="1"/>
  <c r="B38" i="14"/>
  <c r="C38" i="14" s="1"/>
  <c r="B38" i="15" s="1"/>
  <c r="B6" i="14"/>
  <c r="C6" i="14" s="1"/>
  <c r="B6" i="15" s="1"/>
  <c r="B2" i="14" l="1"/>
  <c r="C2" i="14" s="1"/>
  <c r="B2" i="15" s="1"/>
  <c r="A2" i="15"/>
  <c r="A2" i="21"/>
  <c r="D7" i="21" a="1"/>
  <c r="D7" i="21" s="1"/>
  <c r="E7" i="21" s="1"/>
  <c r="C7" i="20" s="1"/>
  <c r="D14" i="21" a="1"/>
  <c r="D14" i="21" s="1"/>
  <c r="E14" i="21" s="1"/>
  <c r="C14" i="20" s="1"/>
  <c r="D20" i="21" a="1"/>
  <c r="D20" i="21" s="1"/>
  <c r="E20" i="21" s="1"/>
  <c r="C20" i="20" s="1"/>
  <c r="D33" i="21" a="1"/>
  <c r="D33" i="21" s="1"/>
  <c r="E33" i="21" s="1"/>
  <c r="C33" i="20" s="1"/>
  <c r="D39" i="21" a="1"/>
  <c r="D39" i="21" s="1"/>
  <c r="E39" i="21" s="1"/>
  <c r="C39" i="20" s="1"/>
  <c r="D46" i="21" a="1"/>
  <c r="D46" i="21" s="1"/>
  <c r="E46" i="21" s="1"/>
  <c r="C46" i="20" s="1"/>
  <c r="D52" i="21" a="1"/>
  <c r="D52" i="21" s="1"/>
  <c r="E52" i="21" s="1"/>
  <c r="C52" i="20" s="1"/>
  <c r="D65" i="21" a="1"/>
  <c r="D65" i="21" s="1"/>
  <c r="E65" i="21" s="1"/>
  <c r="C65" i="20" s="1"/>
  <c r="D71" i="21" a="1"/>
  <c r="D71" i="21" s="1"/>
  <c r="E71" i="21" s="1"/>
  <c r="C71" i="20" s="1"/>
  <c r="D78" i="21" a="1"/>
  <c r="D78" i="21" s="1"/>
  <c r="E78" i="21" s="1"/>
  <c r="C78" i="20" s="1"/>
  <c r="D84" i="21" a="1"/>
  <c r="D84" i="21" s="1"/>
  <c r="E84" i="21" s="1"/>
  <c r="C84" i="20" s="1"/>
  <c r="C9" i="21"/>
  <c r="B9" i="20" s="1"/>
  <c r="C17" i="21"/>
  <c r="B17" i="20" s="1"/>
  <c r="C25" i="21"/>
  <c r="B25" i="20" s="1"/>
  <c r="C33" i="21"/>
  <c r="B33" i="20" s="1"/>
  <c r="C41" i="21"/>
  <c r="B41" i="20" s="1"/>
  <c r="C49" i="21"/>
  <c r="B49" i="20" s="1"/>
  <c r="C57" i="21"/>
  <c r="B57" i="20" s="1"/>
  <c r="C65" i="21"/>
  <c r="B65" i="20" s="1"/>
  <c r="C73" i="21"/>
  <c r="B73" i="20" s="1"/>
  <c r="C81" i="21"/>
  <c r="B81" i="20" s="1"/>
  <c r="B6" i="21"/>
  <c r="A6" i="20" s="1"/>
  <c r="B14" i="21"/>
  <c r="A14" i="20" s="1"/>
  <c r="B22" i="21"/>
  <c r="A22" i="20" s="1"/>
  <c r="B30" i="21"/>
  <c r="A30" i="20" s="1"/>
  <c r="B38" i="21"/>
  <c r="A38" i="20" s="1"/>
  <c r="D8" i="21" a="1"/>
  <c r="D8" i="21" s="1"/>
  <c r="E8" i="21" s="1"/>
  <c r="C8" i="20" s="1"/>
  <c r="D21" i="21" a="1"/>
  <c r="D21" i="21" s="1"/>
  <c r="E21" i="21" s="1"/>
  <c r="C21" i="20" s="1"/>
  <c r="D27" i="21" a="1"/>
  <c r="D27" i="21" s="1"/>
  <c r="E27" i="21" s="1"/>
  <c r="C27" i="20" s="1"/>
  <c r="D34" i="21" a="1"/>
  <c r="D34" i="21" s="1"/>
  <c r="E34" i="21" s="1"/>
  <c r="C34" i="20" s="1"/>
  <c r="D40" i="21" a="1"/>
  <c r="D40" i="21" s="1"/>
  <c r="E40" i="21" s="1"/>
  <c r="C40" i="20" s="1"/>
  <c r="D53" i="21" a="1"/>
  <c r="D53" i="21" s="1"/>
  <c r="E53" i="21" s="1"/>
  <c r="C53" i="20" s="1"/>
  <c r="D59" i="21" a="1"/>
  <c r="D59" i="21" s="1"/>
  <c r="E59" i="21" s="1"/>
  <c r="C59" i="20" s="1"/>
  <c r="D66" i="21" a="1"/>
  <c r="D66" i="21" s="1"/>
  <c r="E66" i="21" s="1"/>
  <c r="C66" i="20" s="1"/>
  <c r="D72" i="21" a="1"/>
  <c r="D72" i="21" s="1"/>
  <c r="E72" i="21" s="1"/>
  <c r="C72" i="20" s="1"/>
  <c r="C10" i="21"/>
  <c r="B10" i="20" s="1"/>
  <c r="C18" i="21"/>
  <c r="B18" i="20" s="1"/>
  <c r="C26" i="21"/>
  <c r="B26" i="20" s="1"/>
  <c r="C34" i="21"/>
  <c r="B34" i="20" s="1"/>
  <c r="C42" i="21"/>
  <c r="B42" i="20" s="1"/>
  <c r="C50" i="21"/>
  <c r="B50" i="20" s="1"/>
  <c r="C58" i="21"/>
  <c r="B58" i="20" s="1"/>
  <c r="C66" i="21"/>
  <c r="B66" i="20" s="1"/>
  <c r="C74" i="21"/>
  <c r="B74" i="20" s="1"/>
  <c r="C82" i="21"/>
  <c r="B82" i="20" s="1"/>
  <c r="B7" i="21"/>
  <c r="A7" i="20" s="1"/>
  <c r="B15" i="21"/>
  <c r="A15" i="20" s="1"/>
  <c r="B23" i="21"/>
  <c r="A23" i="20" s="1"/>
  <c r="D9" i="21" a="1"/>
  <c r="D9" i="21" s="1"/>
  <c r="E9" i="21" s="1"/>
  <c r="C9" i="20" s="1"/>
  <c r="D15" i="21" a="1"/>
  <c r="D15" i="21" s="1"/>
  <c r="E15" i="21" s="1"/>
  <c r="C15" i="20" s="1"/>
  <c r="D22" i="21" a="1"/>
  <c r="D22" i="21" s="1"/>
  <c r="E22" i="21" s="1"/>
  <c r="C22" i="20" s="1"/>
  <c r="D28" i="21" a="1"/>
  <c r="D28" i="21" s="1"/>
  <c r="E28" i="21" s="1"/>
  <c r="C28" i="20" s="1"/>
  <c r="D41" i="21" a="1"/>
  <c r="D41" i="21" s="1"/>
  <c r="E41" i="21" s="1"/>
  <c r="C41" i="20" s="1"/>
  <c r="D47" i="21" a="1"/>
  <c r="D47" i="21" s="1"/>
  <c r="E47" i="21" s="1"/>
  <c r="C47" i="20" s="1"/>
  <c r="D54" i="21" a="1"/>
  <c r="D54" i="21" s="1"/>
  <c r="E54" i="21" s="1"/>
  <c r="C54" i="20" s="1"/>
  <c r="D60" i="21" a="1"/>
  <c r="D60" i="21" s="1"/>
  <c r="E60" i="21" s="1"/>
  <c r="C60" i="20" s="1"/>
  <c r="D73" i="21" a="1"/>
  <c r="D73" i="21" s="1"/>
  <c r="E73" i="21" s="1"/>
  <c r="C73" i="20" s="1"/>
  <c r="D79" i="21" a="1"/>
  <c r="D79" i="21" s="1"/>
  <c r="E79" i="21" s="1"/>
  <c r="C79" i="20" s="1"/>
  <c r="C3" i="21"/>
  <c r="B3" i="20" s="1"/>
  <c r="C11" i="21"/>
  <c r="B11" i="20" s="1"/>
  <c r="C19" i="21"/>
  <c r="B19" i="20" s="1"/>
  <c r="C27" i="21"/>
  <c r="B27" i="20" s="1"/>
  <c r="C35" i="21"/>
  <c r="B35" i="20" s="1"/>
  <c r="C43" i="21"/>
  <c r="B43" i="20" s="1"/>
  <c r="C51" i="21"/>
  <c r="B51" i="20" s="1"/>
  <c r="C59" i="21"/>
  <c r="B59" i="20" s="1"/>
  <c r="C67" i="21"/>
  <c r="B67" i="20" s="1"/>
  <c r="C75" i="21"/>
  <c r="B75" i="20" s="1"/>
  <c r="C83" i="21"/>
  <c r="B83" i="20" s="1"/>
  <c r="B8" i="21"/>
  <c r="A8" i="20" s="1"/>
  <c r="B16" i="21"/>
  <c r="A16" i="20" s="1"/>
  <c r="B24" i="21"/>
  <c r="A24" i="20" s="1"/>
  <c r="B32" i="21"/>
  <c r="A32" i="20" s="1"/>
  <c r="B40" i="21"/>
  <c r="A40" i="20" s="1"/>
  <c r="B48" i="21"/>
  <c r="A48" i="20" s="1"/>
  <c r="D3" i="21" a="1"/>
  <c r="D3" i="21" s="1"/>
  <c r="E3" i="21" s="1"/>
  <c r="C3" i="20" s="1"/>
  <c r="D10" i="21" a="1"/>
  <c r="D10" i="21" s="1"/>
  <c r="E10" i="21" s="1"/>
  <c r="C10" i="20" s="1"/>
  <c r="D16" i="21" a="1"/>
  <c r="D16" i="21" s="1"/>
  <c r="E16" i="21" s="1"/>
  <c r="C16" i="20" s="1"/>
  <c r="D29" i="21" a="1"/>
  <c r="D29" i="21" s="1"/>
  <c r="E29" i="21" s="1"/>
  <c r="C29" i="20" s="1"/>
  <c r="D35" i="21" a="1"/>
  <c r="D35" i="21" s="1"/>
  <c r="E35" i="21" s="1"/>
  <c r="C35" i="20" s="1"/>
  <c r="D42" i="21" a="1"/>
  <c r="D42" i="21" s="1"/>
  <c r="E42" i="21" s="1"/>
  <c r="C42" i="20" s="1"/>
  <c r="D48" i="21" a="1"/>
  <c r="D48" i="21" s="1"/>
  <c r="E48" i="21" s="1"/>
  <c r="C48" i="20" s="1"/>
  <c r="D61" i="21" a="1"/>
  <c r="D61" i="21" s="1"/>
  <c r="E61" i="21" s="1"/>
  <c r="C61" i="20" s="1"/>
  <c r="D67" i="21" a="1"/>
  <c r="D67" i="21" s="1"/>
  <c r="E67" i="21" s="1"/>
  <c r="C67" i="20" s="1"/>
  <c r="D74" i="21" a="1"/>
  <c r="D74" i="21" s="1"/>
  <c r="E74" i="21" s="1"/>
  <c r="C74" i="20" s="1"/>
  <c r="D80" i="21" a="1"/>
  <c r="D80" i="21" s="1"/>
  <c r="E80" i="21" s="1"/>
  <c r="C80" i="20" s="1"/>
  <c r="C4" i="21"/>
  <c r="B4" i="20" s="1"/>
  <c r="C12" i="21"/>
  <c r="B12" i="20" s="1"/>
  <c r="C20" i="21"/>
  <c r="B20" i="20" s="1"/>
  <c r="C28" i="21"/>
  <c r="B28" i="20" s="1"/>
  <c r="C36" i="21"/>
  <c r="B36" i="20" s="1"/>
  <c r="C44" i="21"/>
  <c r="B44" i="20" s="1"/>
  <c r="C52" i="21"/>
  <c r="B52" i="20" s="1"/>
  <c r="C60" i="21"/>
  <c r="B60" i="20" s="1"/>
  <c r="C68" i="21"/>
  <c r="B68" i="20" s="1"/>
  <c r="C76" i="21"/>
  <c r="B76" i="20" s="1"/>
  <c r="C84" i="21"/>
  <c r="B84" i="20" s="1"/>
  <c r="B9" i="21"/>
  <c r="A9" i="20" s="1"/>
  <c r="B17" i="21"/>
  <c r="A17" i="20" s="1"/>
  <c r="B25" i="21"/>
  <c r="A25" i="20" s="1"/>
  <c r="B33" i="21"/>
  <c r="A33" i="20" s="1"/>
  <c r="B41" i="21"/>
  <c r="A41" i="20" s="1"/>
  <c r="D5" i="21" a="1"/>
  <c r="D5" i="21" s="1"/>
  <c r="E5" i="21" s="1"/>
  <c r="C5" i="20" s="1"/>
  <c r="D18" i="21" a="1"/>
  <c r="D18" i="21" s="1"/>
  <c r="E18" i="21" s="1"/>
  <c r="C18" i="20" s="1"/>
  <c r="D43" i="21" a="1"/>
  <c r="D43" i="21" s="1"/>
  <c r="E43" i="21" s="1"/>
  <c r="C43" i="20" s="1"/>
  <c r="D56" i="21" a="1"/>
  <c r="D56" i="21" s="1"/>
  <c r="E56" i="21" s="1"/>
  <c r="C56" i="20" s="1"/>
  <c r="D69" i="21" a="1"/>
  <c r="D69" i="21" s="1"/>
  <c r="E69" i="21" s="1"/>
  <c r="C69" i="20" s="1"/>
  <c r="D82" i="21" a="1"/>
  <c r="D82" i="21" s="1"/>
  <c r="E82" i="21" s="1"/>
  <c r="C82" i="20" s="1"/>
  <c r="C14" i="21"/>
  <c r="B14" i="20" s="1"/>
  <c r="C30" i="21"/>
  <c r="B30" i="20" s="1"/>
  <c r="C46" i="21"/>
  <c r="B46" i="20" s="1"/>
  <c r="C62" i="21"/>
  <c r="B62" i="20" s="1"/>
  <c r="C78" i="21"/>
  <c r="B78" i="20" s="1"/>
  <c r="B11" i="21"/>
  <c r="A11" i="20" s="1"/>
  <c r="B27" i="21"/>
  <c r="A27" i="20" s="1"/>
  <c r="B39" i="21"/>
  <c r="A39" i="20" s="1"/>
  <c r="B50" i="21"/>
  <c r="A50" i="20" s="1"/>
  <c r="B58" i="21"/>
  <c r="A58" i="20" s="1"/>
  <c r="B66" i="21"/>
  <c r="A66" i="20" s="1"/>
  <c r="B74" i="21"/>
  <c r="A74" i="20" s="1"/>
  <c r="B82" i="21"/>
  <c r="A82" i="20" s="1"/>
  <c r="C7" i="21"/>
  <c r="B7" i="20" s="1"/>
  <c r="C39" i="21"/>
  <c r="B39" i="20" s="1"/>
  <c r="B4" i="21"/>
  <c r="A4" i="20" s="1"/>
  <c r="B20" i="21"/>
  <c r="A20" i="20" s="1"/>
  <c r="B35" i="21"/>
  <c r="A35" i="20" s="1"/>
  <c r="B55" i="21"/>
  <c r="A55" i="20" s="1"/>
  <c r="B79" i="21"/>
  <c r="A79" i="20" s="1"/>
  <c r="D55" i="21" a="1"/>
  <c r="D55" i="21" s="1"/>
  <c r="E55" i="21" s="1"/>
  <c r="C55" i="20" s="1"/>
  <c r="C29" i="21"/>
  <c r="B29" i="20" s="1"/>
  <c r="B26" i="21"/>
  <c r="A26" i="20" s="1"/>
  <c r="B57" i="21"/>
  <c r="A57" i="20" s="1"/>
  <c r="D6" i="21" a="1"/>
  <c r="D6" i="21" s="1"/>
  <c r="E6" i="21" s="1"/>
  <c r="C6" i="20" s="1"/>
  <c r="D31" i="21" a="1"/>
  <c r="D31" i="21" s="1"/>
  <c r="E31" i="21" s="1"/>
  <c r="C31" i="20" s="1"/>
  <c r="D44" i="21" a="1"/>
  <c r="D44" i="21" s="1"/>
  <c r="E44" i="21" s="1"/>
  <c r="C44" i="20" s="1"/>
  <c r="D57" i="21" a="1"/>
  <c r="D57" i="21" s="1"/>
  <c r="E57" i="21" s="1"/>
  <c r="C57" i="20" s="1"/>
  <c r="D70" i="21" a="1"/>
  <c r="D70" i="21" s="1"/>
  <c r="E70" i="21" s="1"/>
  <c r="C70" i="20" s="1"/>
  <c r="C15" i="21"/>
  <c r="B15" i="20" s="1"/>
  <c r="C31" i="21"/>
  <c r="B31" i="20" s="1"/>
  <c r="C47" i="21"/>
  <c r="B47" i="20" s="1"/>
  <c r="C63" i="21"/>
  <c r="B63" i="20" s="1"/>
  <c r="C79" i="21"/>
  <c r="B79" i="20" s="1"/>
  <c r="B12" i="21"/>
  <c r="A12" i="20" s="1"/>
  <c r="B28" i="21"/>
  <c r="A28" i="20" s="1"/>
  <c r="B42" i="21"/>
  <c r="A42" i="20" s="1"/>
  <c r="B51" i="21"/>
  <c r="A51" i="20" s="1"/>
  <c r="B59" i="21"/>
  <c r="A59" i="20" s="1"/>
  <c r="B67" i="21"/>
  <c r="A67" i="20" s="1"/>
  <c r="B75" i="21"/>
  <c r="A75" i="20" s="1"/>
  <c r="B83" i="21"/>
  <c r="A83" i="20" s="1"/>
  <c r="D19" i="21" a="1"/>
  <c r="D19" i="21" s="1"/>
  <c r="E19" i="21" s="1"/>
  <c r="C19" i="20" s="1"/>
  <c r="D32" i="21" a="1"/>
  <c r="D32" i="21" s="1"/>
  <c r="E32" i="21" s="1"/>
  <c r="C32" i="20" s="1"/>
  <c r="D45" i="21" a="1"/>
  <c r="D45" i="21" s="1"/>
  <c r="E45" i="21" s="1"/>
  <c r="C45" i="20" s="1"/>
  <c r="D58" i="21" a="1"/>
  <c r="D58" i="21" s="1"/>
  <c r="E58" i="21" s="1"/>
  <c r="C58" i="20" s="1"/>
  <c r="D83" i="21" a="1"/>
  <c r="D83" i="21" s="1"/>
  <c r="E83" i="21" s="1"/>
  <c r="C83" i="20" s="1"/>
  <c r="C16" i="21"/>
  <c r="B16" i="20" s="1"/>
  <c r="C32" i="21"/>
  <c r="B32" i="20" s="1"/>
  <c r="C48" i="21"/>
  <c r="B48" i="20" s="1"/>
  <c r="C64" i="21"/>
  <c r="B64" i="20" s="1"/>
  <c r="C80" i="21"/>
  <c r="B80" i="20" s="1"/>
  <c r="B13" i="21"/>
  <c r="A13" i="20" s="1"/>
  <c r="B29" i="21"/>
  <c r="A29" i="20" s="1"/>
  <c r="B43" i="21"/>
  <c r="A43" i="20" s="1"/>
  <c r="B52" i="21"/>
  <c r="A52" i="20" s="1"/>
  <c r="B60" i="21"/>
  <c r="A60" i="20" s="1"/>
  <c r="B68" i="21"/>
  <c r="A68" i="20" s="1"/>
  <c r="B76" i="21"/>
  <c r="A76" i="20" s="1"/>
  <c r="B84" i="21"/>
  <c r="A84" i="20" s="1"/>
  <c r="D64" i="21" a="1"/>
  <c r="D64" i="21" s="1"/>
  <c r="E64" i="21" s="1"/>
  <c r="C64" i="20" s="1"/>
  <c r="C72" i="21"/>
  <c r="B72" i="20" s="1"/>
  <c r="B47" i="21"/>
  <c r="A47" i="20" s="1"/>
  <c r="B80" i="21"/>
  <c r="A80" i="20" s="1"/>
  <c r="D17" i="21" a="1"/>
  <c r="D17" i="21" s="1"/>
  <c r="E17" i="21" s="1"/>
  <c r="C17" i="20" s="1"/>
  <c r="C77" i="21"/>
  <c r="B77" i="20" s="1"/>
  <c r="B81" i="21"/>
  <c r="A81" i="20" s="1"/>
  <c r="D23" i="21" a="1"/>
  <c r="D23" i="21" s="1"/>
  <c r="E23" i="21" s="1"/>
  <c r="C23" i="20" s="1"/>
  <c r="D36" i="21" a="1"/>
  <c r="D36" i="21" s="1"/>
  <c r="E36" i="21" s="1"/>
  <c r="C36" i="20" s="1"/>
  <c r="D49" i="21" a="1"/>
  <c r="D49" i="21" s="1"/>
  <c r="E49" i="21" s="1"/>
  <c r="C49" i="20" s="1"/>
  <c r="D62" i="21" a="1"/>
  <c r="D62" i="21" s="1"/>
  <c r="E62" i="21" s="1"/>
  <c r="C62" i="20" s="1"/>
  <c r="C5" i="21"/>
  <c r="B5" i="20" s="1"/>
  <c r="C21" i="21"/>
  <c r="B21" i="20" s="1"/>
  <c r="C37" i="21"/>
  <c r="B37" i="20" s="1"/>
  <c r="C53" i="21"/>
  <c r="B53" i="20" s="1"/>
  <c r="C69" i="21"/>
  <c r="B69" i="20" s="1"/>
  <c r="B18" i="21"/>
  <c r="A18" i="20" s="1"/>
  <c r="B31" i="21"/>
  <c r="A31" i="20" s="1"/>
  <c r="B44" i="21"/>
  <c r="A44" i="20" s="1"/>
  <c r="B53" i="21"/>
  <c r="A53" i="20" s="1"/>
  <c r="B61" i="21"/>
  <c r="A61" i="20" s="1"/>
  <c r="B69" i="21"/>
  <c r="A69" i="20" s="1"/>
  <c r="B77" i="21"/>
  <c r="A77" i="20" s="1"/>
  <c r="D12" i="21" a="1"/>
  <c r="D12" i="21" s="1"/>
  <c r="E12" i="21" s="1"/>
  <c r="C12" i="20" s="1"/>
  <c r="D38" i="21" a="1"/>
  <c r="D38" i="21" s="1"/>
  <c r="E38" i="21" s="1"/>
  <c r="C38" i="20" s="1"/>
  <c r="D63" i="21" a="1"/>
  <c r="D63" i="21" s="1"/>
  <c r="E63" i="21" s="1"/>
  <c r="C63" i="20" s="1"/>
  <c r="C23" i="21"/>
  <c r="B23" i="20" s="1"/>
  <c r="C55" i="21"/>
  <c r="B55" i="20" s="1"/>
  <c r="B63" i="21"/>
  <c r="A63" i="20" s="1"/>
  <c r="D13" i="21" a="1"/>
  <c r="D13" i="21" s="1"/>
  <c r="E13" i="21" s="1"/>
  <c r="C13" i="20" s="1"/>
  <c r="D51" i="21" a="1"/>
  <c r="D51" i="21" s="1"/>
  <c r="E51" i="21" s="1"/>
  <c r="C51" i="20" s="1"/>
  <c r="C8" i="21"/>
  <c r="B8" i="20" s="1"/>
  <c r="C40" i="21"/>
  <c r="B40" i="20" s="1"/>
  <c r="B5" i="21"/>
  <c r="A5" i="20" s="1"/>
  <c r="B36" i="21"/>
  <c r="A36" i="20" s="1"/>
  <c r="B72" i="21"/>
  <c r="A72" i="20" s="1"/>
  <c r="D4" i="21" a="1"/>
  <c r="D4" i="21" s="1"/>
  <c r="E4" i="21" s="1"/>
  <c r="C4" i="20" s="1"/>
  <c r="D68" i="21" a="1"/>
  <c r="D68" i="21" s="1"/>
  <c r="E68" i="21" s="1"/>
  <c r="C68" i="20" s="1"/>
  <c r="C13" i="21"/>
  <c r="B13" i="20" s="1"/>
  <c r="C61" i="21"/>
  <c r="B61" i="20" s="1"/>
  <c r="B37" i="21"/>
  <c r="A37" i="20" s="1"/>
  <c r="B73" i="21"/>
  <c r="A73" i="20" s="1"/>
  <c r="D11" i="21" a="1"/>
  <c r="D11" i="21" s="1"/>
  <c r="E11" i="21" s="1"/>
  <c r="C11" i="20" s="1"/>
  <c r="D24" i="21" a="1"/>
  <c r="D24" i="21" s="1"/>
  <c r="E24" i="21" s="1"/>
  <c r="C24" i="20" s="1"/>
  <c r="D37" i="21" a="1"/>
  <c r="D37" i="21" s="1"/>
  <c r="E37" i="21" s="1"/>
  <c r="C37" i="20" s="1"/>
  <c r="D50" i="21" a="1"/>
  <c r="D50" i="21" s="1"/>
  <c r="E50" i="21" s="1"/>
  <c r="C50" i="20" s="1"/>
  <c r="D75" i="21" a="1"/>
  <c r="D75" i="21" s="1"/>
  <c r="E75" i="21" s="1"/>
  <c r="C75" i="20" s="1"/>
  <c r="C6" i="21"/>
  <c r="B6" i="20" s="1"/>
  <c r="C22" i="21"/>
  <c r="B22" i="20" s="1"/>
  <c r="C38" i="21"/>
  <c r="B38" i="20" s="1"/>
  <c r="C54" i="21"/>
  <c r="B54" i="20" s="1"/>
  <c r="C70" i="21"/>
  <c r="B70" i="20" s="1"/>
  <c r="B3" i="21"/>
  <c r="A3" i="20" s="1"/>
  <c r="B19" i="21"/>
  <c r="A19" i="20" s="1"/>
  <c r="B34" i="21"/>
  <c r="A34" i="20" s="1"/>
  <c r="B45" i="21"/>
  <c r="A45" i="20" s="1"/>
  <c r="B54" i="21"/>
  <c r="A54" i="20" s="1"/>
  <c r="B62" i="21"/>
  <c r="A62" i="20" s="1"/>
  <c r="B70" i="21"/>
  <c r="A70" i="20" s="1"/>
  <c r="B78" i="21"/>
  <c r="A78" i="20" s="1"/>
  <c r="D25" i="21" a="1"/>
  <c r="D25" i="21" s="1"/>
  <c r="E25" i="21" s="1"/>
  <c r="C25" i="20" s="1"/>
  <c r="D76" i="21" a="1"/>
  <c r="D76" i="21" s="1"/>
  <c r="E76" i="21" s="1"/>
  <c r="C76" i="20" s="1"/>
  <c r="C71" i="21"/>
  <c r="B71" i="20" s="1"/>
  <c r="B46" i="21"/>
  <c r="A46" i="20" s="1"/>
  <c r="B71" i="21"/>
  <c r="A71" i="20" s="1"/>
  <c r="D26" i="21" a="1"/>
  <c r="D26" i="21" s="1"/>
  <c r="E26" i="21" s="1"/>
  <c r="C26" i="20" s="1"/>
  <c r="D77" i="21" a="1"/>
  <c r="D77" i="21" s="1"/>
  <c r="E77" i="21" s="1"/>
  <c r="C77" i="20" s="1"/>
  <c r="C24" i="21"/>
  <c r="B24" i="20" s="1"/>
  <c r="C56" i="21"/>
  <c r="B56" i="20" s="1"/>
  <c r="B21" i="21"/>
  <c r="A21" i="20" s="1"/>
  <c r="B56" i="21"/>
  <c r="A56" i="20" s="1"/>
  <c r="B64" i="21"/>
  <c r="A64" i="20" s="1"/>
  <c r="D30" i="21" a="1"/>
  <c r="D30" i="21" s="1"/>
  <c r="E30" i="21" s="1"/>
  <c r="C30" i="20" s="1"/>
  <c r="D81" i="21" a="1"/>
  <c r="D81" i="21" s="1"/>
  <c r="E81" i="21" s="1"/>
  <c r="C81" i="20" s="1"/>
  <c r="C45" i="21"/>
  <c r="B45" i="20" s="1"/>
  <c r="B10" i="21"/>
  <c r="A10" i="20" s="1"/>
  <c r="B49" i="21"/>
  <c r="A49" i="20" s="1"/>
  <c r="B65" i="21"/>
  <c r="A65" i="20" s="1"/>
  <c r="E8" i="16"/>
  <c r="F8" i="16" s="1"/>
  <c r="E8" i="17" s="1"/>
  <c r="B6" i="16"/>
  <c r="B6" i="17" s="1"/>
  <c r="E6" i="16"/>
  <c r="F6" i="16" s="1"/>
  <c r="E6" i="17" s="1"/>
  <c r="B10" i="16"/>
  <c r="B10" i="17" s="1"/>
  <c r="E5" i="16"/>
  <c r="F5" i="16" s="1"/>
  <c r="E5" i="17" s="1"/>
  <c r="C3" i="16"/>
  <c r="C3" i="17" s="1"/>
  <c r="E3" i="16"/>
  <c r="F3" i="16" s="1"/>
  <c r="E3" i="17" s="1"/>
  <c r="C11" i="16"/>
  <c r="C11" i="17" s="1"/>
  <c r="C8" i="16"/>
  <c r="C8" i="17" s="1"/>
  <c r="C5" i="16"/>
  <c r="C5" i="17" s="1"/>
  <c r="B8" i="16"/>
  <c r="B8" i="17" s="1"/>
  <c r="B5" i="16"/>
  <c r="B5" i="17" s="1"/>
  <c r="C12" i="16"/>
  <c r="C12" i="17" s="1"/>
  <c r="C9" i="16"/>
  <c r="C9" i="17" s="1"/>
  <c r="B9" i="16"/>
  <c r="B9" i="17" s="1"/>
  <c r="B12" i="16"/>
  <c r="B12" i="17" s="1"/>
  <c r="E9" i="16"/>
  <c r="F9" i="16" s="1"/>
  <c r="E9" i="17" s="1"/>
  <c r="C10" i="16"/>
  <c r="C10" i="17" s="1"/>
  <c r="B11" i="16"/>
  <c r="B11" i="17" s="1"/>
  <c r="C7" i="16"/>
  <c r="C7" i="17" s="1"/>
  <c r="E11" i="16"/>
  <c r="F11" i="16" s="1"/>
  <c r="E11" i="17" s="1"/>
  <c r="B4" i="16"/>
  <c r="B4" i="17" s="1"/>
  <c r="A2" i="18" a="1"/>
  <c r="E7" i="16"/>
  <c r="F7" i="16" s="1"/>
  <c r="E7" i="17" s="1"/>
  <c r="C6" i="16"/>
  <c r="C6" i="17" s="1"/>
  <c r="E12" i="16"/>
  <c r="F12" i="16" s="1"/>
  <c r="E12" i="17" s="1"/>
  <c r="B7" i="16"/>
  <c r="B7" i="17" s="1"/>
  <c r="C4" i="16"/>
  <c r="C4" i="17" s="1"/>
  <c r="B3" i="16"/>
  <c r="B3" i="17" s="1"/>
  <c r="E4" i="16"/>
  <c r="F4" i="16" s="1"/>
  <c r="E4" i="17" s="1"/>
  <c r="E10" i="16"/>
  <c r="F10" i="16" s="1"/>
  <c r="E10" i="17" s="1"/>
  <c r="D2" i="21" l="1" a="1"/>
  <c r="D2" i="21" s="1"/>
  <c r="E2" i="21" s="1"/>
  <c r="C2" i="20" s="1"/>
  <c r="C2" i="21"/>
  <c r="B2" i="20" s="1"/>
  <c r="B2" i="21"/>
  <c r="A2" i="20" s="1"/>
  <c r="A2" i="18"/>
  <c r="B2" i="18" s="1"/>
  <c r="A2" i="19" s="1"/>
  <c r="B66" i="18"/>
  <c r="A66" i="19" s="1"/>
  <c r="B97" i="18"/>
  <c r="A97" i="19" s="1"/>
  <c r="B33" i="18"/>
  <c r="A33" i="19" s="1"/>
  <c r="B128" i="18"/>
  <c r="A128" i="19" s="1"/>
  <c r="B64" i="18"/>
  <c r="A64" i="19" s="1"/>
  <c r="B90" i="18"/>
  <c r="A90" i="19" s="1"/>
  <c r="B87" i="18"/>
  <c r="A87" i="19" s="1"/>
  <c r="B23" i="18"/>
  <c r="A23" i="19" s="1"/>
  <c r="B86" i="18"/>
  <c r="A86" i="19" s="1"/>
  <c r="B22" i="18"/>
  <c r="A22" i="19" s="1"/>
  <c r="B93" i="18"/>
  <c r="A93" i="19" s="1"/>
  <c r="B29" i="18"/>
  <c r="A29" i="19" s="1"/>
  <c r="B108" i="18"/>
  <c r="A108" i="19" s="1"/>
  <c r="B44" i="18"/>
  <c r="A44" i="19" s="1"/>
  <c r="B115" i="18"/>
  <c r="A115" i="19" s="1"/>
  <c r="B51" i="18"/>
  <c r="A51" i="19" s="1"/>
  <c r="B80" i="18"/>
  <c r="A80" i="19" s="1"/>
  <c r="B124" i="18"/>
  <c r="A124" i="19" s="1"/>
  <c r="B95" i="18"/>
  <c r="A95" i="19" s="1"/>
  <c r="B52" i="18"/>
  <c r="A52" i="19" s="1"/>
  <c r="B50" i="18"/>
  <c r="A50" i="19" s="1"/>
  <c r="B89" i="18"/>
  <c r="A89" i="19" s="1"/>
  <c r="B25" i="18"/>
  <c r="A25" i="19" s="1"/>
  <c r="B120" i="18"/>
  <c r="A120" i="19" s="1"/>
  <c r="B56" i="18"/>
  <c r="A56" i="19" s="1"/>
  <c r="B58" i="18"/>
  <c r="A58" i="19" s="1"/>
  <c r="B79" i="18"/>
  <c r="A79" i="19" s="1"/>
  <c r="B15" i="18"/>
  <c r="A15" i="19" s="1"/>
  <c r="B78" i="18"/>
  <c r="A78" i="19" s="1"/>
  <c r="B14" i="18"/>
  <c r="A14" i="19" s="1"/>
  <c r="B85" i="18"/>
  <c r="A85" i="19" s="1"/>
  <c r="B21" i="18"/>
  <c r="A21" i="19" s="1"/>
  <c r="B100" i="18"/>
  <c r="A100" i="19" s="1"/>
  <c r="B36" i="18"/>
  <c r="A36" i="19" s="1"/>
  <c r="B107" i="18"/>
  <c r="A107" i="19" s="1"/>
  <c r="B43" i="18"/>
  <c r="A43" i="19" s="1"/>
  <c r="B11" i="18"/>
  <c r="A11" i="19" s="1"/>
  <c r="B39" i="18"/>
  <c r="A39" i="19" s="1"/>
  <c r="B131" i="18"/>
  <c r="A131" i="19" s="1"/>
  <c r="B10" i="18"/>
  <c r="A10" i="19" s="1"/>
  <c r="B101" i="18"/>
  <c r="A101" i="19" s="1"/>
  <c r="B59" i="18"/>
  <c r="A59" i="19" s="1"/>
  <c r="B34" i="18"/>
  <c r="A34" i="19" s="1"/>
  <c r="B81" i="18"/>
  <c r="A81" i="19" s="1"/>
  <c r="B17" i="18"/>
  <c r="A17" i="19" s="1"/>
  <c r="B112" i="18"/>
  <c r="A112" i="19" s="1"/>
  <c r="B48" i="18"/>
  <c r="A48" i="19" s="1"/>
  <c r="B26" i="18"/>
  <c r="A26" i="19" s="1"/>
  <c r="B71" i="18"/>
  <c r="A71" i="19" s="1"/>
  <c r="B7" i="18"/>
  <c r="A7" i="19" s="1"/>
  <c r="B70" i="18"/>
  <c r="A70" i="19" s="1"/>
  <c r="B6" i="18"/>
  <c r="A6" i="19" s="1"/>
  <c r="B77" i="18"/>
  <c r="A77" i="19" s="1"/>
  <c r="B13" i="18"/>
  <c r="A13" i="19" s="1"/>
  <c r="B92" i="18"/>
  <c r="A92" i="19" s="1"/>
  <c r="B28" i="18"/>
  <c r="A28" i="19" s="1"/>
  <c r="B99" i="18"/>
  <c r="A99" i="19" s="1"/>
  <c r="B35" i="18"/>
  <c r="A35" i="19" s="1"/>
  <c r="B117" i="18"/>
  <c r="A117" i="19" s="1"/>
  <c r="B60" i="18"/>
  <c r="A60" i="19" s="1"/>
  <c r="B41" i="18"/>
  <c r="A41" i="19" s="1"/>
  <c r="B30" i="18"/>
  <c r="A30" i="19" s="1"/>
  <c r="B123" i="18"/>
  <c r="A123" i="19" s="1"/>
  <c r="B18" i="18"/>
  <c r="A18" i="19" s="1"/>
  <c r="B73" i="18"/>
  <c r="A73" i="19" s="1"/>
  <c r="B9" i="18"/>
  <c r="A9" i="19" s="1"/>
  <c r="B104" i="18"/>
  <c r="A104" i="19" s="1"/>
  <c r="B40" i="18"/>
  <c r="A40" i="19" s="1"/>
  <c r="B127" i="18"/>
  <c r="A127" i="19" s="1"/>
  <c r="B63" i="18"/>
  <c r="A63" i="19" s="1"/>
  <c r="B126" i="18"/>
  <c r="A126" i="19" s="1"/>
  <c r="B62" i="18"/>
  <c r="A62" i="19" s="1"/>
  <c r="B98" i="18"/>
  <c r="A98" i="19" s="1"/>
  <c r="B69" i="18"/>
  <c r="A69" i="19" s="1"/>
  <c r="B5" i="18"/>
  <c r="A5" i="19" s="1"/>
  <c r="B84" i="18"/>
  <c r="A84" i="19" s="1"/>
  <c r="B20" i="18"/>
  <c r="A20" i="19" s="1"/>
  <c r="B91" i="18"/>
  <c r="A91" i="19" s="1"/>
  <c r="B27" i="18"/>
  <c r="A27" i="19" s="1"/>
  <c r="B122" i="18"/>
  <c r="A122" i="19" s="1"/>
  <c r="B121" i="18"/>
  <c r="A121" i="19" s="1"/>
  <c r="B82" i="18"/>
  <c r="A82" i="19" s="1"/>
  <c r="B88" i="18"/>
  <c r="A88" i="19" s="1"/>
  <c r="B111" i="18"/>
  <c r="A111" i="19" s="1"/>
  <c r="B47" i="18"/>
  <c r="A47" i="19" s="1"/>
  <c r="B46" i="18"/>
  <c r="A46" i="19" s="1"/>
  <c r="B68" i="18"/>
  <c r="A68" i="19" s="1"/>
  <c r="B75" i="18"/>
  <c r="A75" i="19" s="1"/>
  <c r="B113" i="18"/>
  <c r="A113" i="19" s="1"/>
  <c r="B42" i="18"/>
  <c r="A42" i="19" s="1"/>
  <c r="B16" i="18"/>
  <c r="A16" i="19" s="1"/>
  <c r="B102" i="18"/>
  <c r="A102" i="19" s="1"/>
  <c r="B109" i="18"/>
  <c r="A109" i="19" s="1"/>
  <c r="B3" i="18"/>
  <c r="A3" i="19" s="1"/>
  <c r="B74" i="18"/>
  <c r="A74" i="19" s="1"/>
  <c r="B105" i="18"/>
  <c r="A105" i="19" s="1"/>
  <c r="B8" i="18"/>
  <c r="A8" i="19" s="1"/>
  <c r="B31" i="18"/>
  <c r="A31" i="19" s="1"/>
  <c r="B37" i="18"/>
  <c r="A37" i="19" s="1"/>
  <c r="B129" i="18"/>
  <c r="A129" i="19" s="1"/>
  <c r="B65" i="18"/>
  <c r="A65" i="19" s="1"/>
  <c r="B130" i="18"/>
  <c r="A130" i="19" s="1"/>
  <c r="B96" i="18"/>
  <c r="A96" i="19" s="1"/>
  <c r="B32" i="18"/>
  <c r="A32" i="19" s="1"/>
  <c r="B119" i="18"/>
  <c r="A119" i="19" s="1"/>
  <c r="B55" i="18"/>
  <c r="A55" i="19" s="1"/>
  <c r="B118" i="18"/>
  <c r="A118" i="19" s="1"/>
  <c r="B54" i="18"/>
  <c r="A54" i="19" s="1"/>
  <c r="B125" i="18"/>
  <c r="A125" i="19" s="1"/>
  <c r="B61" i="18"/>
  <c r="A61" i="19" s="1"/>
  <c r="B114" i="18"/>
  <c r="A114" i="19" s="1"/>
  <c r="B76" i="18"/>
  <c r="A76" i="19" s="1"/>
  <c r="B12" i="18"/>
  <c r="A12" i="19" s="1"/>
  <c r="B83" i="18"/>
  <c r="A83" i="19" s="1"/>
  <c r="B19" i="18"/>
  <c r="A19" i="19" s="1"/>
  <c r="B57" i="18"/>
  <c r="A57" i="19" s="1"/>
  <c r="B24" i="18"/>
  <c r="A24" i="19" s="1"/>
  <c r="B110" i="18"/>
  <c r="A110" i="19" s="1"/>
  <c r="B53" i="18"/>
  <c r="A53" i="19" s="1"/>
  <c r="B132" i="18"/>
  <c r="A132" i="19" s="1"/>
  <c r="B4" i="18"/>
  <c r="A4" i="19" s="1"/>
  <c r="B106" i="18"/>
  <c r="A106" i="19" s="1"/>
  <c r="B49" i="18"/>
  <c r="A49" i="19" s="1"/>
  <c r="B103" i="18"/>
  <c r="A103" i="19" s="1"/>
  <c r="B38" i="18"/>
  <c r="A38" i="19" s="1"/>
  <c r="B45" i="18"/>
  <c r="A45" i="19" s="1"/>
  <c r="B67" i="18"/>
  <c r="A67" i="19" s="1"/>
  <c r="B72" i="18"/>
  <c r="A72" i="19" s="1"/>
  <c r="B94" i="18"/>
  <c r="A94" i="19" s="1"/>
  <c r="B116" i="18"/>
  <c r="A116" i="1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<sst xmlns="http://schemas.openxmlformats.org/spreadsheetml/2006/main" count="570" uniqueCount="173">
  <si>
    <t>Recipe DB</t>
  </si>
  <si>
    <t>recipes</t>
  </si>
  <si>
    <t>chef</t>
  </si>
  <si>
    <t>ingrediants</t>
  </si>
  <si>
    <t>prep_time</t>
  </si>
  <si>
    <t>serving</t>
  </si>
  <si>
    <t>book_title</t>
  </si>
  <si>
    <t>Berbere spiced chicken</t>
  </si>
  <si>
    <t>Yotam Ottolenghi</t>
  </si>
  <si>
    <t>quantity</t>
  </si>
  <si>
    <t>cooking_time</t>
  </si>
  <si>
    <t>onion</t>
  </si>
  <si>
    <t>4 to 6</t>
  </si>
  <si>
    <t>Ottolenghi Test Kitchen</t>
  </si>
  <si>
    <t>garlic clove</t>
  </si>
  <si>
    <t>berbere spice</t>
  </si>
  <si>
    <t>tomato paste</t>
  </si>
  <si>
    <t>g</t>
  </si>
  <si>
    <t>tbsp</t>
  </si>
  <si>
    <t>honey</t>
  </si>
  <si>
    <t>apple cider vinegar</t>
  </si>
  <si>
    <t>olive oil</t>
  </si>
  <si>
    <t>ml</t>
  </si>
  <si>
    <t>carrots</t>
  </si>
  <si>
    <t>chicken thigh</t>
  </si>
  <si>
    <t>oranges</t>
  </si>
  <si>
    <t>salt</t>
  </si>
  <si>
    <t>black pepper</t>
  </si>
  <si>
    <t>salmon fillet</t>
  </si>
  <si>
    <t>sumac</t>
  </si>
  <si>
    <t>tsp</t>
  </si>
  <si>
    <t>baby spinach</t>
  </si>
  <si>
    <t>tahini</t>
  </si>
  <si>
    <t>lemon juice</t>
  </si>
  <si>
    <t>coriander</t>
  </si>
  <si>
    <t>unit</t>
  </si>
  <si>
    <t>Baked mint rice</t>
  </si>
  <si>
    <t>basmati rice</t>
  </si>
  <si>
    <t>unsalted butter</t>
  </si>
  <si>
    <t>boiling water</t>
  </si>
  <si>
    <t>mint</t>
  </si>
  <si>
    <t>feta</t>
  </si>
  <si>
    <t>pitted green olives</t>
  </si>
  <si>
    <t>pomegranate seeds</t>
  </si>
  <si>
    <t>walnut</t>
  </si>
  <si>
    <t>pomegranate molasses</t>
  </si>
  <si>
    <t>Ottolenghi SIMPLE</t>
  </si>
  <si>
    <t>shallots</t>
  </si>
  <si>
    <t>thyme</t>
  </si>
  <si>
    <t>cinnamon stick</t>
  </si>
  <si>
    <t>TV chips</t>
  </si>
  <si>
    <t>kg</t>
  </si>
  <si>
    <t>flaked salt</t>
  </si>
  <si>
    <t>tinned chickpeas</t>
  </si>
  <si>
    <t>tinned tuna</t>
  </si>
  <si>
    <t>chives</t>
  </si>
  <si>
    <t>basil</t>
  </si>
  <si>
    <t>1/2</t>
  </si>
  <si>
    <t>double cream</t>
  </si>
  <si>
    <t>Parmesan</t>
  </si>
  <si>
    <t>tomato</t>
  </si>
  <si>
    <t>potato</t>
  </si>
  <si>
    <t>cherry tomato</t>
  </si>
  <si>
    <t>Ixta Belfrage</t>
  </si>
  <si>
    <t>MEZCLA</t>
  </si>
  <si>
    <t>Course</t>
  </si>
  <si>
    <t>Main</t>
  </si>
  <si>
    <t>Main / Side</t>
  </si>
  <si>
    <t>Portokalopita</t>
  </si>
  <si>
    <t>orange</t>
  </si>
  <si>
    <t>filo</t>
  </si>
  <si>
    <t>caster sugar</t>
  </si>
  <si>
    <t>Greek yoghurt</t>
  </si>
  <si>
    <t>egg</t>
  </si>
  <si>
    <t>baking powder</t>
  </si>
  <si>
    <t>Georgina Hayden</t>
  </si>
  <si>
    <t>Taverna</t>
  </si>
  <si>
    <t>Dessert</t>
  </si>
  <si>
    <t>wholemeal spelt flour</t>
  </si>
  <si>
    <t>ground cinnamon</t>
  </si>
  <si>
    <t>vanilla extract</t>
  </si>
  <si>
    <t>maple syrup</t>
  </si>
  <si>
    <t>milk</t>
  </si>
  <si>
    <t>frozen blueberry</t>
  </si>
  <si>
    <t>Donna Hay</t>
  </si>
  <si>
    <t>Basics To Brilliance Kids</t>
  </si>
  <si>
    <t>Roasted aubergine</t>
  </si>
  <si>
    <t>Blueberry muffins</t>
  </si>
  <si>
    <t>ginger</t>
  </si>
  <si>
    <t>green chilli</t>
  </si>
  <si>
    <t>aubergine</t>
  </si>
  <si>
    <t>spring onion</t>
  </si>
  <si>
    <t>lime</t>
  </si>
  <si>
    <t>tamarind paste</t>
  </si>
  <si>
    <t>miso</t>
  </si>
  <si>
    <t>Stirring Slowly</t>
  </si>
  <si>
    <t>Roast pork</t>
  </si>
  <si>
    <t>pork joint</t>
  </si>
  <si>
    <t>chicken stock</t>
  </si>
  <si>
    <t>balsamic vinegar</t>
  </si>
  <si>
    <t>tinned butter beans</t>
  </si>
  <si>
    <t>butter</t>
  </si>
  <si>
    <t>parsley</t>
  </si>
  <si>
    <t>oregano</t>
  </si>
  <si>
    <t>dill</t>
  </si>
  <si>
    <t>James Martin</t>
  </si>
  <si>
    <t>James Every Day</t>
  </si>
  <si>
    <t>Baked Fennel</t>
  </si>
  <si>
    <t>fennel bulb</t>
  </si>
  <si>
    <t>fennel seeds</t>
  </si>
  <si>
    <t>chilli flake</t>
  </si>
  <si>
    <t>salt flake</t>
  </si>
  <si>
    <t>6 to 8</t>
  </si>
  <si>
    <t>Diana Henry</t>
  </si>
  <si>
    <t>From The Oven To The Table</t>
  </si>
  <si>
    <t>Side</t>
  </si>
  <si>
    <t>Wild mushroom &amp; walnut soup</t>
  </si>
  <si>
    <t>dried mushroom</t>
  </si>
  <si>
    <t>mushroom</t>
  </si>
  <si>
    <t xml:space="preserve">celery </t>
  </si>
  <si>
    <t>leek</t>
  </si>
  <si>
    <t>bay leaves</t>
  </si>
  <si>
    <t>vegetable stock</t>
  </si>
  <si>
    <t>l</t>
  </si>
  <si>
    <t>small mushroom</t>
  </si>
  <si>
    <t>single cream</t>
  </si>
  <si>
    <t>dry sherry</t>
  </si>
  <si>
    <t>Delia Smith</t>
  </si>
  <si>
    <t>Main/Starter</t>
  </si>
  <si>
    <t>Meat</t>
  </si>
  <si>
    <t>Seafood</t>
  </si>
  <si>
    <t>Vegetables</t>
  </si>
  <si>
    <t>Fruits</t>
  </si>
  <si>
    <t>Grains</t>
  </si>
  <si>
    <t>Dairy</t>
  </si>
  <si>
    <t>Herbs</t>
  </si>
  <si>
    <t>Spices</t>
  </si>
  <si>
    <t>Oils &amp; Fats</t>
  </si>
  <si>
    <t>Condiments</t>
  </si>
  <si>
    <t>Dijon mustard</t>
  </si>
  <si>
    <t>Seasoning</t>
  </si>
  <si>
    <t>Nuts &amp; Seeds</t>
  </si>
  <si>
    <t>Others</t>
  </si>
  <si>
    <t>unit_id</t>
  </si>
  <si>
    <t>each</t>
  </si>
  <si>
    <t>tin</t>
  </si>
  <si>
    <t>clove</t>
  </si>
  <si>
    <t>piece</t>
  </si>
  <si>
    <t>bunch</t>
  </si>
  <si>
    <t>cookbook_id</t>
  </si>
  <si>
    <t>Zaatar salmon</t>
  </si>
  <si>
    <t>zaatar</t>
  </si>
  <si>
    <t>ingredients</t>
  </si>
  <si>
    <t>published_date</t>
  </si>
  <si>
    <t>cookbook_title</t>
  </si>
  <si>
    <t>chef_first_name</t>
  </si>
  <si>
    <t>chef_last_name</t>
  </si>
  <si>
    <t>full_name</t>
  </si>
  <si>
    <t>ingredient_type</t>
  </si>
  <si>
    <t>ingredient_type_id</t>
  </si>
  <si>
    <t>unit_abbreviation</t>
  </si>
  <si>
    <t>ingredient_name</t>
  </si>
  <si>
    <t>recipe_name</t>
  </si>
  <si>
    <t>cooking_date</t>
  </si>
  <si>
    <t>recipe_id</t>
  </si>
  <si>
    <t>ingredient_id</t>
  </si>
  <si>
    <t>ingredient_quantity</t>
  </si>
  <si>
    <t>wholemeal plain flour</t>
  </si>
  <si>
    <t>stock_quantity</t>
  </si>
  <si>
    <t>unit_abbbreviation</t>
  </si>
  <si>
    <t>is_available</t>
  </si>
  <si>
    <t>Baked rice with tomato and garlic</t>
  </si>
  <si>
    <t>Delias Happy Christmas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</si>
</sst>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 x14ac:knownFonts="1">
    <font>
      <sz val="11"/>
      <color theme="1"/>
      <name val="Aptos Narrow"/>
      <family val="2"/>
      <scheme val="minor"/>
    </font>
    <font>
      <sz val="10"/>
      <color rgb="FF000000"/>
      <name val="Consolas"/>
      <family val="3"/>
    </font>
    <font>
      <sz val="10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2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16" fontId="0" fillId="0" borderId="1" xfId="0" applyNumberFormat="1" applyBorder="1"/>
    <xf numFmtId="0" fontId="0" fillId="0" borderId="2" xfId="0" applyBorder="1"/>
    <xf numFmtId="21" fontId="0" fillId="0" borderId="0" xfId="0" applyNumberFormat="1"/>
    <xf numFmtId="21" fontId="0" fillId="0" borderId="1" xfId="0" applyNumberFormat="1" applyBorder="1"/>
    <xf numFmtId="16" fontId="0" fillId="0" borderId="2" xfId="0" applyNumberFormat="1" applyBorder="1"/>
    <xf numFmtId="0" fontId="0" fillId="0" borderId="0" xfId="0" quotePrefix="1"/>
    <xf numFmtId="0" fontId="1" fillId="0" borderId="0" xfId="0" applyFont="1"/>
    <xf numFmtId="0" fontId="2" fillId="0" borderId="0" xfId="0" applyFont="1"/>
    <xf numFmtId="0" fontId="3" fillId="0" borderId="0" xfId="0" applyFont="1"/>
    <xf numFmtId="164" fontId="0" fillId="0" borderId="0" xfId="0" applyNumberFormat="1"/>
    <xf numFmtId="164" fontId="0" fillId="0" borderId="0" xfId="0" quotePrefix="1" applyNumberFormat="1"/>
    <xf numFmtId="21" fontId="0" fillId="0" borderId="2" xfId="0" applyNumberFormat="1" applyBorder="1"/>
    <xf numFmtId="21" fontId="0" fillId="0" borderId="0" xfId="0" quotePrefix="1" applyNumberFormat="1"/>
    <xf numFmtId="0" fontId="4" fillId="0" borderId="0" xfId="0" applyFont="1"/>
    <xf numFmtId="0" fontId="5" fillId="0" borderId="0" xfId="0" applyFont="1"/>
    <xf numFmtId="164" fontId="0" fillId="0" borderId="2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C6445-54B7-490B-A51F-EF78BC1CD38D}">
  <dimension ref="A2:K13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4.4" x14ac:dyDescent="0.3"/>
  <cols>
    <col min="1" max="1" width="27" bestFit="1" customWidth="1"/>
    <col min="2" max="2" width="19.88671875" bestFit="1" customWidth="1"/>
    <col min="3" max="3" width="7.33203125" bestFit="1" customWidth="1"/>
    <col min="4" max="4" width="5.44140625" bestFit="1" customWidth="1"/>
    <col min="5" max="5" width="9.21875" bestFit="1" customWidth="1"/>
    <col min="6" max="6" width="11.5546875" bestFit="1" customWidth="1"/>
    <col min="7" max="7" width="6.6640625" bestFit="1" customWidth="1"/>
    <col min="8" max="8" width="23.33203125" bestFit="1" customWidth="1"/>
    <col min="9" max="9" width="14.88671875" bestFit="1" customWidth="1"/>
    <col min="10" max="10" width="23.33203125" customWidth="1"/>
    <col min="11" max="11" width="9.6640625" bestFit="1" customWidth="1"/>
  </cols>
  <sheetData>
    <row r="2" spans="1:11" x14ac:dyDescent="0.3">
      <c r="A2" t="s">
        <v>0</v>
      </c>
    </row>
    <row r="3" spans="1:11" ht="15" thickBot="1" x14ac:dyDescent="0.35">
      <c r="A3" t="s">
        <v>1</v>
      </c>
      <c r="B3" t="s">
        <v>3</v>
      </c>
      <c r="C3" t="s">
        <v>9</v>
      </c>
      <c r="D3" t="s">
        <v>35</v>
      </c>
      <c r="E3" t="s">
        <v>4</v>
      </c>
      <c r="F3" t="s">
        <v>10</v>
      </c>
      <c r="G3" t="s">
        <v>5</v>
      </c>
      <c r="H3" t="s">
        <v>6</v>
      </c>
      <c r="I3" t="s">
        <v>2</v>
      </c>
      <c r="J3" t="s">
        <v>153</v>
      </c>
      <c r="K3" t="s">
        <v>65</v>
      </c>
    </row>
    <row r="4" spans="1:11" ht="15" thickTop="1" x14ac:dyDescent="0.3">
      <c r="A4" s="3" t="s">
        <v>7</v>
      </c>
      <c r="B4" s="3" t="s">
        <v>11</v>
      </c>
      <c r="C4" s="3">
        <v>1</v>
      </c>
      <c r="D4" s="3" t="s">
        <v>144</v>
      </c>
      <c r="E4" s="13">
        <v>1.7361111111111112E-2</v>
      </c>
      <c r="F4" s="13">
        <v>5.9027777777777776E-2</v>
      </c>
      <c r="G4" s="6" t="s">
        <v>12</v>
      </c>
      <c r="H4" s="3" t="s">
        <v>13</v>
      </c>
      <c r="I4" s="3" t="s">
        <v>8</v>
      </c>
      <c r="J4" s="17">
        <v>44483</v>
      </c>
      <c r="K4" s="3" t="s">
        <v>66</v>
      </c>
    </row>
    <row r="5" spans="1:11" x14ac:dyDescent="0.3">
      <c r="A5" s="15" t="str">
        <f>A4</f>
        <v>Berbere spiced chicken</v>
      </c>
      <c r="B5" t="s">
        <v>14</v>
      </c>
      <c r="C5">
        <v>6</v>
      </c>
      <c r="D5" t="s">
        <v>146</v>
      </c>
      <c r="J5" s="11"/>
    </row>
    <row r="6" spans="1:11" x14ac:dyDescent="0.3">
      <c r="A6" s="15" t="str">
        <f t="shared" ref="A6:A17" si="0">A5</f>
        <v>Berbere spiced chicken</v>
      </c>
      <c r="B6" t="s">
        <v>34</v>
      </c>
      <c r="C6">
        <v>45</v>
      </c>
      <c r="D6" t="s">
        <v>17</v>
      </c>
      <c r="J6" s="11"/>
    </row>
    <row r="7" spans="1:11" x14ac:dyDescent="0.3">
      <c r="A7" s="15" t="str">
        <f t="shared" si="0"/>
        <v>Berbere spiced chicken</v>
      </c>
      <c r="B7" t="s">
        <v>15</v>
      </c>
      <c r="C7">
        <v>2.5</v>
      </c>
      <c r="D7" t="s">
        <v>18</v>
      </c>
      <c r="J7" s="11"/>
    </row>
    <row r="8" spans="1:11" x14ac:dyDescent="0.3">
      <c r="A8" s="15" t="str">
        <f t="shared" si="0"/>
        <v>Berbere spiced chicken</v>
      </c>
      <c r="B8" t="s">
        <v>16</v>
      </c>
      <c r="C8">
        <v>2</v>
      </c>
      <c r="D8" t="s">
        <v>18</v>
      </c>
      <c r="J8" s="11"/>
    </row>
    <row r="9" spans="1:11" x14ac:dyDescent="0.3">
      <c r="A9" s="15" t="str">
        <f t="shared" si="0"/>
        <v>Berbere spiced chicken</v>
      </c>
      <c r="B9" t="s">
        <v>19</v>
      </c>
      <c r="C9">
        <v>2.5</v>
      </c>
      <c r="D9" t="s">
        <v>18</v>
      </c>
      <c r="J9" s="11"/>
    </row>
    <row r="10" spans="1:11" x14ac:dyDescent="0.3">
      <c r="A10" s="15" t="str">
        <f t="shared" si="0"/>
        <v>Berbere spiced chicken</v>
      </c>
      <c r="B10" t="s">
        <v>20</v>
      </c>
      <c r="C10">
        <v>3</v>
      </c>
      <c r="D10" t="s">
        <v>18</v>
      </c>
      <c r="J10" s="11"/>
    </row>
    <row r="11" spans="1:11" x14ac:dyDescent="0.3">
      <c r="A11" s="15" t="str">
        <f t="shared" si="0"/>
        <v>Berbere spiced chicken</v>
      </c>
      <c r="B11" t="s">
        <v>21</v>
      </c>
      <c r="C11">
        <v>90</v>
      </c>
      <c r="D11" t="s">
        <v>22</v>
      </c>
      <c r="J11" s="11"/>
    </row>
    <row r="12" spans="1:11" x14ac:dyDescent="0.3">
      <c r="A12" s="15" t="str">
        <f t="shared" si="0"/>
        <v>Berbere spiced chicken</v>
      </c>
      <c r="B12" t="s">
        <v>23</v>
      </c>
      <c r="C12">
        <v>800</v>
      </c>
      <c r="D12" t="s">
        <v>17</v>
      </c>
      <c r="J12" s="11"/>
    </row>
    <row r="13" spans="1:11" x14ac:dyDescent="0.3">
      <c r="A13" s="15" t="str">
        <f t="shared" si="0"/>
        <v>Berbere spiced chicken</v>
      </c>
      <c r="B13" t="s">
        <v>53</v>
      </c>
      <c r="C13">
        <v>2</v>
      </c>
      <c r="D13" t="s">
        <v>145</v>
      </c>
      <c r="J13" s="11"/>
    </row>
    <row r="14" spans="1:11" x14ac:dyDescent="0.3">
      <c r="A14" s="15" t="str">
        <f t="shared" si="0"/>
        <v>Berbere spiced chicken</v>
      </c>
      <c r="B14" t="s">
        <v>24</v>
      </c>
      <c r="C14">
        <v>8</v>
      </c>
      <c r="D14" t="s">
        <v>147</v>
      </c>
      <c r="J14" s="11"/>
    </row>
    <row r="15" spans="1:11" x14ac:dyDescent="0.3">
      <c r="A15" s="15" t="str">
        <f t="shared" si="0"/>
        <v>Berbere spiced chicken</v>
      </c>
      <c r="B15" t="s">
        <v>25</v>
      </c>
      <c r="C15">
        <v>3</v>
      </c>
      <c r="D15" t="s">
        <v>144</v>
      </c>
      <c r="J15" s="11"/>
    </row>
    <row r="16" spans="1:11" x14ac:dyDescent="0.3">
      <c r="A16" s="15" t="str">
        <f t="shared" si="0"/>
        <v>Berbere spiced chicken</v>
      </c>
      <c r="B16" t="s">
        <v>26</v>
      </c>
      <c r="C16">
        <v>0.1</v>
      </c>
      <c r="D16" t="s">
        <v>30</v>
      </c>
      <c r="J16" s="11"/>
    </row>
    <row r="17" spans="1:11" x14ac:dyDescent="0.3">
      <c r="A17" s="15" t="str">
        <f t="shared" si="0"/>
        <v>Berbere spiced chicken</v>
      </c>
      <c r="B17" t="s">
        <v>27</v>
      </c>
      <c r="C17">
        <v>0.1</v>
      </c>
      <c r="D17" t="s">
        <v>30</v>
      </c>
      <c r="J17" s="11"/>
    </row>
    <row r="18" spans="1:11" x14ac:dyDescent="0.3">
      <c r="A18" s="1" t="s">
        <v>150</v>
      </c>
      <c r="B18" s="1" t="s">
        <v>28</v>
      </c>
      <c r="C18" s="1">
        <v>4</v>
      </c>
      <c r="D18" s="1" t="s">
        <v>147</v>
      </c>
      <c r="E18" s="5">
        <v>3.472222222222222E-3</v>
      </c>
      <c r="F18" s="5">
        <v>1.3888888888888888E-2</v>
      </c>
      <c r="G18" s="1">
        <v>4</v>
      </c>
      <c r="H18" s="1" t="s">
        <v>13</v>
      </c>
      <c r="I18" s="1" t="s">
        <v>8</v>
      </c>
      <c r="J18" s="18">
        <v>44483</v>
      </c>
      <c r="K18" s="1" t="s">
        <v>66</v>
      </c>
    </row>
    <row r="19" spans="1:11" x14ac:dyDescent="0.3">
      <c r="A19" s="15" t="str">
        <f>A18</f>
        <v>Zaatar salmon</v>
      </c>
      <c r="B19" t="s">
        <v>151</v>
      </c>
      <c r="C19">
        <v>15</v>
      </c>
      <c r="D19" t="s">
        <v>17</v>
      </c>
      <c r="J19" s="11"/>
    </row>
    <row r="20" spans="1:11" x14ac:dyDescent="0.3">
      <c r="A20" s="15" t="str">
        <f t="shared" ref="A20:A28" si="1">A19</f>
        <v>Zaatar salmon</v>
      </c>
      <c r="B20" t="s">
        <v>29</v>
      </c>
      <c r="C20">
        <v>10</v>
      </c>
      <c r="D20" t="s">
        <v>17</v>
      </c>
      <c r="J20" s="11"/>
    </row>
    <row r="21" spans="1:11" x14ac:dyDescent="0.3">
      <c r="A21" s="15" t="str">
        <f t="shared" si="1"/>
        <v>Zaatar salmon</v>
      </c>
      <c r="B21" t="s">
        <v>21</v>
      </c>
      <c r="C21">
        <v>60</v>
      </c>
      <c r="D21" t="s">
        <v>22</v>
      </c>
      <c r="J21" s="11"/>
    </row>
    <row r="22" spans="1:11" x14ac:dyDescent="0.3">
      <c r="A22" s="15" t="str">
        <f t="shared" si="1"/>
        <v>Zaatar salmon</v>
      </c>
      <c r="B22" t="s">
        <v>31</v>
      </c>
      <c r="C22">
        <v>250</v>
      </c>
      <c r="D22" t="s">
        <v>17</v>
      </c>
      <c r="J22" s="11"/>
    </row>
    <row r="23" spans="1:11" x14ac:dyDescent="0.3">
      <c r="A23" s="15" t="str">
        <f t="shared" si="1"/>
        <v>Zaatar salmon</v>
      </c>
      <c r="B23" t="s">
        <v>32</v>
      </c>
      <c r="C23">
        <v>90</v>
      </c>
      <c r="D23" t="s">
        <v>17</v>
      </c>
      <c r="J23" s="11"/>
    </row>
    <row r="24" spans="1:11" x14ac:dyDescent="0.3">
      <c r="A24" s="15" t="str">
        <f t="shared" si="1"/>
        <v>Zaatar salmon</v>
      </c>
      <c r="B24" t="s">
        <v>14</v>
      </c>
      <c r="C24">
        <v>3</v>
      </c>
      <c r="D24" t="s">
        <v>146</v>
      </c>
      <c r="J24" s="11"/>
    </row>
    <row r="25" spans="1:11" x14ac:dyDescent="0.3">
      <c r="A25" s="15" t="str">
        <f t="shared" si="1"/>
        <v>Zaatar salmon</v>
      </c>
      <c r="B25" t="s">
        <v>33</v>
      </c>
      <c r="C25">
        <v>3.5</v>
      </c>
      <c r="D25" t="s">
        <v>18</v>
      </c>
      <c r="J25" s="11"/>
    </row>
    <row r="26" spans="1:11" x14ac:dyDescent="0.3">
      <c r="A26" s="15" t="str">
        <f t="shared" si="1"/>
        <v>Zaatar salmon</v>
      </c>
      <c r="B26" t="s">
        <v>34</v>
      </c>
      <c r="C26">
        <v>10</v>
      </c>
      <c r="D26" t="s">
        <v>17</v>
      </c>
      <c r="J26" s="11"/>
    </row>
    <row r="27" spans="1:11" x14ac:dyDescent="0.3">
      <c r="A27" s="15" t="str">
        <f t="shared" si="1"/>
        <v>Zaatar salmon</v>
      </c>
      <c r="B27" t="s">
        <v>26</v>
      </c>
      <c r="C27">
        <v>0.1</v>
      </c>
      <c r="D27" t="s">
        <v>30</v>
      </c>
      <c r="J27" s="11"/>
    </row>
    <row r="28" spans="1:11" x14ac:dyDescent="0.3">
      <c r="A28" s="15" t="str">
        <f t="shared" si="1"/>
        <v>Zaatar salmon</v>
      </c>
      <c r="B28" t="s">
        <v>27</v>
      </c>
      <c r="C28">
        <v>0.1</v>
      </c>
      <c r="D28" t="s">
        <v>30</v>
      </c>
      <c r="J28" s="11"/>
    </row>
    <row r="29" spans="1:11" x14ac:dyDescent="0.3">
      <c r="A29" s="1" t="s">
        <v>36</v>
      </c>
      <c r="B29" s="1" t="s">
        <v>37</v>
      </c>
      <c r="C29" s="1">
        <v>400</v>
      </c>
      <c r="D29" s="1" t="s">
        <v>17</v>
      </c>
      <c r="E29" s="5">
        <v>3.472222222222222E-3</v>
      </c>
      <c r="F29" s="5">
        <v>1.7361111111111112E-2</v>
      </c>
      <c r="G29" s="1">
        <v>6</v>
      </c>
      <c r="H29" s="1" t="s">
        <v>46</v>
      </c>
      <c r="I29" s="1" t="s">
        <v>8</v>
      </c>
      <c r="J29" s="18">
        <v>43377</v>
      </c>
      <c r="K29" s="1" t="s">
        <v>67</v>
      </c>
    </row>
    <row r="30" spans="1:11" x14ac:dyDescent="0.3">
      <c r="A30" s="15" t="str">
        <f>A29</f>
        <v>Baked mint rice</v>
      </c>
      <c r="B30" t="s">
        <v>38</v>
      </c>
      <c r="C30">
        <v>50</v>
      </c>
      <c r="D30" t="s">
        <v>17</v>
      </c>
      <c r="J30" s="11"/>
    </row>
    <row r="31" spans="1:11" x14ac:dyDescent="0.3">
      <c r="A31" s="15" t="str">
        <f t="shared" ref="A31:A41" si="2">A30</f>
        <v>Baked mint rice</v>
      </c>
      <c r="B31" t="s">
        <v>39</v>
      </c>
      <c r="C31">
        <v>800</v>
      </c>
      <c r="D31" t="s">
        <v>22</v>
      </c>
      <c r="J31" s="11"/>
    </row>
    <row r="32" spans="1:11" x14ac:dyDescent="0.3">
      <c r="A32" s="15" t="str">
        <f t="shared" si="2"/>
        <v>Baked mint rice</v>
      </c>
      <c r="B32" t="s">
        <v>40</v>
      </c>
      <c r="C32">
        <v>50</v>
      </c>
      <c r="D32" t="s">
        <v>17</v>
      </c>
      <c r="J32" s="11"/>
    </row>
    <row r="33" spans="1:11" x14ac:dyDescent="0.3">
      <c r="A33" s="15" t="str">
        <f t="shared" si="2"/>
        <v>Baked mint rice</v>
      </c>
      <c r="B33" t="s">
        <v>41</v>
      </c>
      <c r="C33">
        <v>150</v>
      </c>
      <c r="D33" t="s">
        <v>17</v>
      </c>
      <c r="J33" s="11"/>
    </row>
    <row r="34" spans="1:11" x14ac:dyDescent="0.3">
      <c r="A34" s="15" t="str">
        <f t="shared" si="2"/>
        <v>Baked mint rice</v>
      </c>
      <c r="B34" t="s">
        <v>26</v>
      </c>
      <c r="C34">
        <v>0.1</v>
      </c>
      <c r="D34" t="s">
        <v>30</v>
      </c>
      <c r="J34" s="11"/>
    </row>
    <row r="35" spans="1:11" x14ac:dyDescent="0.3">
      <c r="A35" s="15" t="str">
        <f t="shared" si="2"/>
        <v>Baked mint rice</v>
      </c>
      <c r="B35" t="s">
        <v>27</v>
      </c>
      <c r="C35">
        <v>0.1</v>
      </c>
      <c r="D35" t="s">
        <v>30</v>
      </c>
      <c r="J35" s="11"/>
    </row>
    <row r="36" spans="1:11" x14ac:dyDescent="0.3">
      <c r="A36" s="15" t="str">
        <f t="shared" si="2"/>
        <v>Baked mint rice</v>
      </c>
      <c r="B36" t="s">
        <v>42</v>
      </c>
      <c r="C36">
        <v>40</v>
      </c>
      <c r="D36" t="s">
        <v>17</v>
      </c>
      <c r="J36" s="11"/>
    </row>
    <row r="37" spans="1:11" x14ac:dyDescent="0.3">
      <c r="A37" s="15" t="str">
        <f t="shared" si="2"/>
        <v>Baked mint rice</v>
      </c>
      <c r="B37" t="s">
        <v>43</v>
      </c>
      <c r="C37">
        <v>90</v>
      </c>
      <c r="D37" t="s">
        <v>17</v>
      </c>
      <c r="J37" s="11"/>
    </row>
    <row r="38" spans="1:11" x14ac:dyDescent="0.3">
      <c r="A38" s="15" t="str">
        <f t="shared" si="2"/>
        <v>Baked mint rice</v>
      </c>
      <c r="B38" t="s">
        <v>44</v>
      </c>
      <c r="C38">
        <v>50</v>
      </c>
      <c r="D38" t="s">
        <v>17</v>
      </c>
      <c r="J38" s="11"/>
    </row>
    <row r="39" spans="1:11" x14ac:dyDescent="0.3">
      <c r="A39" s="15" t="str">
        <f t="shared" si="2"/>
        <v>Baked mint rice</v>
      </c>
      <c r="B39" t="s">
        <v>21</v>
      </c>
      <c r="C39">
        <v>45</v>
      </c>
      <c r="D39" t="s">
        <v>22</v>
      </c>
      <c r="J39" s="11"/>
    </row>
    <row r="40" spans="1:11" x14ac:dyDescent="0.3">
      <c r="A40" s="15" t="str">
        <f t="shared" si="2"/>
        <v>Baked mint rice</v>
      </c>
      <c r="B40" t="s">
        <v>45</v>
      </c>
      <c r="C40">
        <v>1</v>
      </c>
      <c r="D40" t="s">
        <v>18</v>
      </c>
      <c r="J40" s="11"/>
    </row>
    <row r="41" spans="1:11" x14ac:dyDescent="0.3">
      <c r="A41" s="15" t="str">
        <f t="shared" si="2"/>
        <v>Baked mint rice</v>
      </c>
      <c r="B41" t="s">
        <v>14</v>
      </c>
      <c r="C41">
        <v>1</v>
      </c>
      <c r="D41" t="s">
        <v>146</v>
      </c>
      <c r="J41" s="11"/>
    </row>
    <row r="42" spans="1:11" x14ac:dyDescent="0.3">
      <c r="A42" s="1" t="s">
        <v>171</v>
      </c>
      <c r="B42" s="1" t="s">
        <v>62</v>
      </c>
      <c r="C42" s="1">
        <v>800</v>
      </c>
      <c r="D42" s="1" t="s">
        <v>17</v>
      </c>
      <c r="E42" s="5">
        <v>1.0416666666666666E-2</v>
      </c>
      <c r="F42" s="5">
        <v>6.9444444444444448E-2</v>
      </c>
      <c r="G42" s="2" t="s">
        <v>12</v>
      </c>
      <c r="H42" s="1" t="s">
        <v>46</v>
      </c>
      <c r="I42" s="1" t="s">
        <v>8</v>
      </c>
      <c r="J42" s="18">
        <v>43377</v>
      </c>
      <c r="K42" s="1" t="s">
        <v>67</v>
      </c>
    </row>
    <row r="43" spans="1:11" x14ac:dyDescent="0.3">
      <c r="A43" s="15" t="str">
        <f>A42</f>
        <v>Baked rice with tomato and garlic</v>
      </c>
      <c r="B43" t="s">
        <v>14</v>
      </c>
      <c r="C43">
        <v>12</v>
      </c>
      <c r="D43" t="s">
        <v>146</v>
      </c>
      <c r="J43" s="11"/>
    </row>
    <row r="44" spans="1:11" x14ac:dyDescent="0.3">
      <c r="A44" s="15" t="str">
        <f t="shared" ref="A44:A52" si="3">A43</f>
        <v>Baked rice with tomato and garlic</v>
      </c>
      <c r="B44" t="s">
        <v>47</v>
      </c>
      <c r="C44">
        <v>220</v>
      </c>
      <c r="D44" t="s">
        <v>17</v>
      </c>
      <c r="J44" s="11"/>
    </row>
    <row r="45" spans="1:11" x14ac:dyDescent="0.3">
      <c r="A45" s="15" t="str">
        <f t="shared" si="3"/>
        <v>Baked rice with tomato and garlic</v>
      </c>
      <c r="B45" t="s">
        <v>34</v>
      </c>
      <c r="C45">
        <v>25</v>
      </c>
      <c r="D45" t="s">
        <v>17</v>
      </c>
      <c r="J45" s="11"/>
    </row>
    <row r="46" spans="1:11" x14ac:dyDescent="0.3">
      <c r="A46" s="15" t="str">
        <f t="shared" si="3"/>
        <v>Baked rice with tomato and garlic</v>
      </c>
      <c r="B46" t="s">
        <v>48</v>
      </c>
      <c r="C46">
        <v>20</v>
      </c>
      <c r="D46" t="s">
        <v>17</v>
      </c>
      <c r="J46" s="11"/>
    </row>
    <row r="47" spans="1:11" x14ac:dyDescent="0.3">
      <c r="A47" s="15" t="str">
        <f t="shared" si="3"/>
        <v>Baked rice with tomato and garlic</v>
      </c>
      <c r="B47" t="s">
        <v>49</v>
      </c>
      <c r="C47">
        <v>4</v>
      </c>
      <c r="D47" t="s">
        <v>144</v>
      </c>
      <c r="J47" s="11"/>
    </row>
    <row r="48" spans="1:11" x14ac:dyDescent="0.3">
      <c r="A48" s="15" t="str">
        <f t="shared" si="3"/>
        <v>Baked rice with tomato and garlic</v>
      </c>
      <c r="B48" t="s">
        <v>21</v>
      </c>
      <c r="C48">
        <v>100</v>
      </c>
      <c r="D48" t="s">
        <v>22</v>
      </c>
      <c r="J48" s="11"/>
    </row>
    <row r="49" spans="1:11" x14ac:dyDescent="0.3">
      <c r="A49" s="15" t="str">
        <f t="shared" si="3"/>
        <v>Baked rice with tomato and garlic</v>
      </c>
      <c r="B49" t="s">
        <v>37</v>
      </c>
      <c r="C49">
        <v>300</v>
      </c>
      <c r="D49" t="s">
        <v>17</v>
      </c>
      <c r="J49" s="11"/>
    </row>
    <row r="50" spans="1:11" x14ac:dyDescent="0.3">
      <c r="A50" s="15" t="str">
        <f t="shared" si="3"/>
        <v>Baked rice with tomato and garlic</v>
      </c>
      <c r="B50" t="s">
        <v>39</v>
      </c>
      <c r="C50">
        <v>600</v>
      </c>
      <c r="D50" t="s">
        <v>22</v>
      </c>
      <c r="J50" s="11"/>
    </row>
    <row r="51" spans="1:11" x14ac:dyDescent="0.3">
      <c r="A51" s="15" t="str">
        <f t="shared" si="3"/>
        <v>Baked rice with tomato and garlic</v>
      </c>
      <c r="B51" t="s">
        <v>26</v>
      </c>
      <c r="C51">
        <v>0.1</v>
      </c>
      <c r="D51" t="s">
        <v>30</v>
      </c>
      <c r="J51" s="11"/>
    </row>
    <row r="52" spans="1:11" x14ac:dyDescent="0.3">
      <c r="A52" s="15" t="str">
        <f t="shared" si="3"/>
        <v>Baked rice with tomato and garlic</v>
      </c>
      <c r="B52" t="s">
        <v>27</v>
      </c>
      <c r="C52">
        <v>0.1</v>
      </c>
      <c r="D52" t="s">
        <v>30</v>
      </c>
      <c r="J52" s="11"/>
    </row>
    <row r="53" spans="1:11" x14ac:dyDescent="0.3">
      <c r="A53" s="1" t="s">
        <v>50</v>
      </c>
      <c r="B53" s="1" t="s">
        <v>61</v>
      </c>
      <c r="C53" s="1">
        <v>1</v>
      </c>
      <c r="D53" s="1" t="s">
        <v>51</v>
      </c>
      <c r="E53" s="5">
        <v>6.9444444444444441E-3</v>
      </c>
      <c r="F53" s="5">
        <v>3.8194444444444448E-2</v>
      </c>
      <c r="G53" s="1" t="s">
        <v>12</v>
      </c>
      <c r="H53" s="1" t="s">
        <v>64</v>
      </c>
      <c r="I53" s="1" t="s">
        <v>63</v>
      </c>
      <c r="J53" s="18">
        <v>44756</v>
      </c>
      <c r="K53" s="1" t="s">
        <v>67</v>
      </c>
    </row>
    <row r="54" spans="1:11" x14ac:dyDescent="0.3">
      <c r="A54" s="15" t="str">
        <f>A53</f>
        <v>TV chips</v>
      </c>
      <c r="B54" t="s">
        <v>21</v>
      </c>
      <c r="C54">
        <v>45</v>
      </c>
      <c r="D54" t="s">
        <v>22</v>
      </c>
      <c r="J54" s="11"/>
    </row>
    <row r="55" spans="1:11" x14ac:dyDescent="0.3">
      <c r="A55" s="15" t="str">
        <f t="shared" ref="A55:A66" si="4">A54</f>
        <v>TV chips</v>
      </c>
      <c r="B55" t="s">
        <v>52</v>
      </c>
      <c r="C55">
        <v>2</v>
      </c>
      <c r="D55" t="s">
        <v>30</v>
      </c>
      <c r="J55" s="11"/>
    </row>
    <row r="56" spans="1:11" x14ac:dyDescent="0.3">
      <c r="A56" s="15" t="str">
        <f t="shared" si="4"/>
        <v>TV chips</v>
      </c>
      <c r="B56" t="s">
        <v>54</v>
      </c>
      <c r="C56">
        <v>160</v>
      </c>
      <c r="D56" t="s">
        <v>17</v>
      </c>
      <c r="J56" s="11"/>
    </row>
    <row r="57" spans="1:11" x14ac:dyDescent="0.3">
      <c r="A57" s="15" t="str">
        <f t="shared" si="4"/>
        <v>TV chips</v>
      </c>
      <c r="B57" t="s">
        <v>55</v>
      </c>
      <c r="C57">
        <v>5</v>
      </c>
      <c r="D57" t="s">
        <v>17</v>
      </c>
      <c r="J57" s="11"/>
    </row>
    <row r="58" spans="1:11" x14ac:dyDescent="0.3">
      <c r="A58" s="15" t="str">
        <f t="shared" si="4"/>
        <v>TV chips</v>
      </c>
      <c r="B58" t="s">
        <v>56</v>
      </c>
      <c r="C58">
        <v>5</v>
      </c>
      <c r="D58" t="s">
        <v>17</v>
      </c>
      <c r="J58" s="11"/>
    </row>
    <row r="59" spans="1:11" x14ac:dyDescent="0.3">
      <c r="A59" s="15" t="str">
        <f t="shared" si="4"/>
        <v>TV chips</v>
      </c>
      <c r="B59" t="s">
        <v>27</v>
      </c>
      <c r="C59">
        <v>0.1</v>
      </c>
      <c r="D59" t="s">
        <v>30</v>
      </c>
      <c r="J59" s="11"/>
    </row>
    <row r="60" spans="1:11" x14ac:dyDescent="0.3">
      <c r="A60" s="15" t="str">
        <f t="shared" si="4"/>
        <v>TV chips</v>
      </c>
      <c r="B60" t="s">
        <v>11</v>
      </c>
      <c r="C60" s="7">
        <v>0.5</v>
      </c>
      <c r="D60" t="s">
        <v>144</v>
      </c>
      <c r="J60" s="11"/>
    </row>
    <row r="61" spans="1:11" x14ac:dyDescent="0.3">
      <c r="A61" s="15" t="str">
        <f t="shared" si="4"/>
        <v>TV chips</v>
      </c>
      <c r="B61" t="s">
        <v>33</v>
      </c>
      <c r="C61">
        <v>2</v>
      </c>
      <c r="D61" t="s">
        <v>18</v>
      </c>
      <c r="J61" s="11"/>
    </row>
    <row r="62" spans="1:11" x14ac:dyDescent="0.3">
      <c r="A62" s="15" t="str">
        <f t="shared" si="4"/>
        <v>TV chips</v>
      </c>
      <c r="B62" t="s">
        <v>52</v>
      </c>
      <c r="C62" s="7" t="s">
        <v>57</v>
      </c>
      <c r="D62" t="s">
        <v>30</v>
      </c>
      <c r="J62" s="11"/>
    </row>
    <row r="63" spans="1:11" x14ac:dyDescent="0.3">
      <c r="A63" s="15" t="str">
        <f t="shared" si="4"/>
        <v>TV chips</v>
      </c>
      <c r="B63" t="s">
        <v>58</v>
      </c>
      <c r="C63">
        <v>4</v>
      </c>
      <c r="D63" t="s">
        <v>18</v>
      </c>
      <c r="J63" s="11"/>
    </row>
    <row r="64" spans="1:11" x14ac:dyDescent="0.3">
      <c r="A64" s="15" t="str">
        <f t="shared" si="4"/>
        <v>TV chips</v>
      </c>
      <c r="B64" t="s">
        <v>59</v>
      </c>
      <c r="C64">
        <v>15</v>
      </c>
      <c r="D64" t="s">
        <v>17</v>
      </c>
      <c r="J64" s="11"/>
    </row>
    <row r="65" spans="1:11" x14ac:dyDescent="0.3">
      <c r="A65" s="15" t="str">
        <f t="shared" si="4"/>
        <v>TV chips</v>
      </c>
      <c r="B65" t="s">
        <v>14</v>
      </c>
      <c r="C65">
        <v>1</v>
      </c>
      <c r="D65" t="s">
        <v>146</v>
      </c>
      <c r="J65" s="11"/>
    </row>
    <row r="66" spans="1:11" x14ac:dyDescent="0.3">
      <c r="A66" s="15" t="str">
        <f t="shared" si="4"/>
        <v>TV chips</v>
      </c>
      <c r="B66" t="s">
        <v>60</v>
      </c>
      <c r="C66">
        <v>2</v>
      </c>
      <c r="D66" t="s">
        <v>144</v>
      </c>
      <c r="J66" s="11"/>
    </row>
    <row r="67" spans="1:11" x14ac:dyDescent="0.3">
      <c r="A67" s="1" t="s">
        <v>68</v>
      </c>
      <c r="B67" s="1" t="s">
        <v>69</v>
      </c>
      <c r="C67" s="1">
        <v>2</v>
      </c>
      <c r="D67" t="s">
        <v>144</v>
      </c>
      <c r="E67" s="5">
        <v>6.25E-2</v>
      </c>
      <c r="F67" s="5">
        <v>5.5555555555555552E-2</v>
      </c>
      <c r="G67" s="1">
        <v>12</v>
      </c>
      <c r="H67" s="1" t="s">
        <v>76</v>
      </c>
      <c r="I67" s="1" t="s">
        <v>75</v>
      </c>
      <c r="J67" s="18">
        <v>45099</v>
      </c>
      <c r="K67" s="1" t="s">
        <v>77</v>
      </c>
    </row>
    <row r="68" spans="1:11" x14ac:dyDescent="0.3">
      <c r="A68" s="15" t="str">
        <f>A67</f>
        <v>Portokalopita</v>
      </c>
      <c r="B68" t="s">
        <v>70</v>
      </c>
      <c r="C68">
        <v>500</v>
      </c>
      <c r="D68" t="s">
        <v>17</v>
      </c>
      <c r="J68" s="11"/>
    </row>
    <row r="69" spans="1:11" x14ac:dyDescent="0.3">
      <c r="A69" s="15" t="str">
        <f t="shared" ref="A69:A75" si="5">A68</f>
        <v>Portokalopita</v>
      </c>
      <c r="B69" t="s">
        <v>71</v>
      </c>
      <c r="C69">
        <v>400</v>
      </c>
      <c r="D69" t="s">
        <v>17</v>
      </c>
      <c r="J69" s="11"/>
    </row>
    <row r="70" spans="1:11" x14ac:dyDescent="0.3">
      <c r="A70" s="15" t="str">
        <f t="shared" si="5"/>
        <v>Portokalopita</v>
      </c>
      <c r="B70" t="s">
        <v>49</v>
      </c>
      <c r="C70">
        <v>1</v>
      </c>
      <c r="D70" t="s">
        <v>144</v>
      </c>
      <c r="J70" s="11"/>
    </row>
    <row r="71" spans="1:11" x14ac:dyDescent="0.3">
      <c r="A71" s="15" t="str">
        <f t="shared" si="5"/>
        <v>Portokalopita</v>
      </c>
      <c r="B71" t="s">
        <v>21</v>
      </c>
      <c r="C71">
        <v>200</v>
      </c>
      <c r="D71" t="s">
        <v>22</v>
      </c>
      <c r="J71" s="11"/>
    </row>
    <row r="72" spans="1:11" x14ac:dyDescent="0.3">
      <c r="A72" s="15" t="str">
        <f t="shared" si="5"/>
        <v>Portokalopita</v>
      </c>
      <c r="B72" t="s">
        <v>72</v>
      </c>
      <c r="C72">
        <v>250</v>
      </c>
      <c r="D72" t="s">
        <v>17</v>
      </c>
      <c r="J72" s="11"/>
    </row>
    <row r="73" spans="1:11" x14ac:dyDescent="0.3">
      <c r="A73" s="15" t="str">
        <f t="shared" si="5"/>
        <v>Portokalopita</v>
      </c>
      <c r="B73" t="s">
        <v>73</v>
      </c>
      <c r="C73">
        <v>5</v>
      </c>
      <c r="D73" t="s">
        <v>144</v>
      </c>
      <c r="J73" s="11"/>
    </row>
    <row r="74" spans="1:11" x14ac:dyDescent="0.3">
      <c r="A74" s="15" t="str">
        <f t="shared" si="5"/>
        <v>Portokalopita</v>
      </c>
      <c r="B74" t="s">
        <v>74</v>
      </c>
      <c r="C74">
        <v>1</v>
      </c>
      <c r="D74" t="s">
        <v>18</v>
      </c>
      <c r="J74" s="11"/>
    </row>
    <row r="75" spans="1:11" x14ac:dyDescent="0.3">
      <c r="A75" s="15" t="str">
        <f t="shared" si="5"/>
        <v>Portokalopita</v>
      </c>
      <c r="B75" t="s">
        <v>80</v>
      </c>
      <c r="C75">
        <v>1</v>
      </c>
      <c r="D75" t="s">
        <v>30</v>
      </c>
      <c r="J75" s="11"/>
    </row>
    <row r="76" spans="1:11" x14ac:dyDescent="0.3">
      <c r="A76" s="1" t="s">
        <v>87</v>
      </c>
      <c r="B76" s="1" t="s">
        <v>78</v>
      </c>
      <c r="C76" s="1">
        <v>140</v>
      </c>
      <c r="D76" s="1" t="s">
        <v>17</v>
      </c>
      <c r="E76" s="5">
        <v>6.9444444444444441E-3</v>
      </c>
      <c r="F76" s="5">
        <v>2.0833333333333332E-2</v>
      </c>
      <c r="G76" s="1">
        <v>12</v>
      </c>
      <c r="H76" s="1" t="s">
        <v>85</v>
      </c>
      <c r="I76" s="1" t="s">
        <v>84</v>
      </c>
      <c r="J76" s="18">
        <v>43391</v>
      </c>
      <c r="K76" s="1" t="s">
        <v>77</v>
      </c>
    </row>
    <row r="77" spans="1:11" x14ac:dyDescent="0.3">
      <c r="A77" s="15" t="str">
        <f>A76</f>
        <v>Blueberry muffins</v>
      </c>
      <c r="B77" s="16" t="s">
        <v>167</v>
      </c>
      <c r="C77">
        <v>150</v>
      </c>
      <c r="D77" t="s">
        <v>17</v>
      </c>
      <c r="J77" s="11"/>
    </row>
    <row r="78" spans="1:11" x14ac:dyDescent="0.3">
      <c r="A78" s="15" t="str">
        <f t="shared" ref="A78:A85" si="6">A77</f>
        <v>Blueberry muffins</v>
      </c>
      <c r="B78" t="s">
        <v>74</v>
      </c>
      <c r="C78">
        <v>1</v>
      </c>
      <c r="D78" t="s">
        <v>18</v>
      </c>
      <c r="J78" s="11"/>
    </row>
    <row r="79" spans="1:11" x14ac:dyDescent="0.3">
      <c r="A79" s="15" t="str">
        <f t="shared" si="6"/>
        <v>Blueberry muffins</v>
      </c>
      <c r="B79" t="s">
        <v>79</v>
      </c>
      <c r="C79">
        <v>1</v>
      </c>
      <c r="D79" t="s">
        <v>30</v>
      </c>
      <c r="J79" s="11"/>
    </row>
    <row r="80" spans="1:11" x14ac:dyDescent="0.3">
      <c r="A80" s="15" t="str">
        <f t="shared" si="6"/>
        <v>Blueberry muffins</v>
      </c>
      <c r="B80" t="s">
        <v>73</v>
      </c>
      <c r="C80">
        <v>1</v>
      </c>
      <c r="D80" t="s">
        <v>144</v>
      </c>
      <c r="J80" s="11"/>
    </row>
    <row r="81" spans="1:11" x14ac:dyDescent="0.3">
      <c r="A81" s="15" t="str">
        <f t="shared" si="6"/>
        <v>Blueberry muffins</v>
      </c>
      <c r="B81" t="s">
        <v>21</v>
      </c>
      <c r="C81">
        <v>160</v>
      </c>
      <c r="D81" t="s">
        <v>22</v>
      </c>
      <c r="J81" s="11"/>
    </row>
    <row r="82" spans="1:11" x14ac:dyDescent="0.3">
      <c r="A82" s="15" t="str">
        <f t="shared" si="6"/>
        <v>Blueberry muffins</v>
      </c>
      <c r="B82" t="s">
        <v>80</v>
      </c>
      <c r="C82">
        <v>1</v>
      </c>
      <c r="D82" t="s">
        <v>30</v>
      </c>
      <c r="J82" s="11"/>
    </row>
    <row r="83" spans="1:11" x14ac:dyDescent="0.3">
      <c r="A83" s="15" t="str">
        <f t="shared" si="6"/>
        <v>Blueberry muffins</v>
      </c>
      <c r="B83" t="s">
        <v>81</v>
      </c>
      <c r="C83">
        <v>180</v>
      </c>
      <c r="D83" t="s">
        <v>22</v>
      </c>
      <c r="J83" s="11"/>
    </row>
    <row r="84" spans="1:11" x14ac:dyDescent="0.3">
      <c r="A84" s="15" t="str">
        <f t="shared" si="6"/>
        <v>Blueberry muffins</v>
      </c>
      <c r="B84" t="s">
        <v>82</v>
      </c>
      <c r="C84">
        <v>80</v>
      </c>
      <c r="D84" t="s">
        <v>22</v>
      </c>
      <c r="J84" s="11"/>
    </row>
    <row r="85" spans="1:11" x14ac:dyDescent="0.3">
      <c r="A85" s="15" t="str">
        <f t="shared" si="6"/>
        <v>Blueberry muffins</v>
      </c>
      <c r="B85" t="s">
        <v>83</v>
      </c>
      <c r="C85">
        <v>375</v>
      </c>
      <c r="D85" t="s">
        <v>17</v>
      </c>
      <c r="J85" s="11"/>
    </row>
    <row r="86" spans="1:11" x14ac:dyDescent="0.3">
      <c r="A86" s="1" t="s">
        <v>86</v>
      </c>
      <c r="B86" s="1" t="s">
        <v>88</v>
      </c>
      <c r="C86" s="1">
        <v>15</v>
      </c>
      <c r="D86" s="1" t="s">
        <v>17</v>
      </c>
      <c r="E86" s="5">
        <v>6.9444444444444441E-3</v>
      </c>
      <c r="F86" s="5">
        <v>4.1666666666666664E-2</v>
      </c>
      <c r="G86" s="1">
        <v>4</v>
      </c>
      <c r="H86" s="1" t="s">
        <v>95</v>
      </c>
      <c r="I86" s="1" t="s">
        <v>75</v>
      </c>
      <c r="J86" s="18">
        <v>44987</v>
      </c>
      <c r="K86" s="1" t="s">
        <v>66</v>
      </c>
    </row>
    <row r="87" spans="1:11" x14ac:dyDescent="0.3">
      <c r="A87" s="15" t="str">
        <f>A86</f>
        <v>Roasted aubergine</v>
      </c>
      <c r="B87" t="s">
        <v>14</v>
      </c>
      <c r="C87">
        <v>4</v>
      </c>
      <c r="D87" t="s">
        <v>146</v>
      </c>
      <c r="J87" s="11"/>
    </row>
    <row r="88" spans="1:11" x14ac:dyDescent="0.3">
      <c r="A88" s="15" t="str">
        <f t="shared" ref="A88:A96" si="7">A87</f>
        <v>Roasted aubergine</v>
      </c>
      <c r="B88" t="s">
        <v>89</v>
      </c>
      <c r="C88">
        <v>2</v>
      </c>
      <c r="D88" t="s">
        <v>144</v>
      </c>
      <c r="J88" s="11"/>
    </row>
    <row r="89" spans="1:11" x14ac:dyDescent="0.3">
      <c r="A89" s="15" t="str">
        <f t="shared" si="7"/>
        <v>Roasted aubergine</v>
      </c>
      <c r="B89" t="s">
        <v>90</v>
      </c>
      <c r="C89">
        <v>2</v>
      </c>
      <c r="D89" t="s">
        <v>144</v>
      </c>
      <c r="J89" s="11"/>
    </row>
    <row r="90" spans="1:11" x14ac:dyDescent="0.3">
      <c r="A90" s="15" t="str">
        <f t="shared" si="7"/>
        <v>Roasted aubergine</v>
      </c>
      <c r="B90" t="s">
        <v>62</v>
      </c>
      <c r="C90">
        <v>200</v>
      </c>
      <c r="D90" t="s">
        <v>17</v>
      </c>
      <c r="J90" s="11"/>
    </row>
    <row r="91" spans="1:11" x14ac:dyDescent="0.3">
      <c r="A91" s="15" t="str">
        <f t="shared" si="7"/>
        <v>Roasted aubergine</v>
      </c>
      <c r="B91" t="s">
        <v>91</v>
      </c>
      <c r="C91">
        <v>4</v>
      </c>
      <c r="D91" t="s">
        <v>144</v>
      </c>
      <c r="J91" s="11"/>
    </row>
    <row r="92" spans="1:11" x14ac:dyDescent="0.3">
      <c r="A92" s="15" t="str">
        <f t="shared" si="7"/>
        <v>Roasted aubergine</v>
      </c>
      <c r="B92" t="s">
        <v>34</v>
      </c>
      <c r="C92">
        <v>50</v>
      </c>
      <c r="D92" t="s">
        <v>17</v>
      </c>
      <c r="J92" s="11"/>
    </row>
    <row r="93" spans="1:11" x14ac:dyDescent="0.3">
      <c r="A93" s="15" t="str">
        <f t="shared" si="7"/>
        <v>Roasted aubergine</v>
      </c>
      <c r="B93" t="s">
        <v>92</v>
      </c>
      <c r="C93">
        <v>1</v>
      </c>
      <c r="D93" t="s">
        <v>144</v>
      </c>
      <c r="J93" s="11"/>
    </row>
    <row r="94" spans="1:11" x14ac:dyDescent="0.3">
      <c r="A94" s="15" t="str">
        <f t="shared" si="7"/>
        <v>Roasted aubergine</v>
      </c>
      <c r="B94" t="s">
        <v>93</v>
      </c>
      <c r="C94">
        <v>1</v>
      </c>
      <c r="D94" t="s">
        <v>18</v>
      </c>
      <c r="J94" s="11"/>
    </row>
    <row r="95" spans="1:11" x14ac:dyDescent="0.3">
      <c r="A95" s="15" t="str">
        <f t="shared" si="7"/>
        <v>Roasted aubergine</v>
      </c>
      <c r="B95" t="s">
        <v>19</v>
      </c>
      <c r="C95" s="7" t="s">
        <v>57</v>
      </c>
      <c r="D95" t="s">
        <v>18</v>
      </c>
      <c r="J95" s="11"/>
    </row>
    <row r="96" spans="1:11" x14ac:dyDescent="0.3">
      <c r="A96" s="15" t="str">
        <f t="shared" si="7"/>
        <v>Roasted aubergine</v>
      </c>
      <c r="B96" t="s">
        <v>94</v>
      </c>
      <c r="C96">
        <v>3</v>
      </c>
      <c r="D96" t="s">
        <v>18</v>
      </c>
      <c r="J96" s="11"/>
    </row>
    <row r="97" spans="1:11" x14ac:dyDescent="0.3">
      <c r="A97" s="1" t="s">
        <v>96</v>
      </c>
      <c r="B97" s="1" t="s">
        <v>139</v>
      </c>
      <c r="C97" s="1">
        <v>2</v>
      </c>
      <c r="D97" s="1" t="s">
        <v>18</v>
      </c>
      <c r="E97" s="5">
        <v>6.9444444444444441E-3</v>
      </c>
      <c r="F97" s="5">
        <v>8.3333333333333329E-2</v>
      </c>
      <c r="G97" s="1">
        <v>6</v>
      </c>
      <c r="H97" s="1" t="s">
        <v>106</v>
      </c>
      <c r="I97" s="1" t="s">
        <v>105</v>
      </c>
      <c r="J97" s="18">
        <v>42985</v>
      </c>
      <c r="K97" s="1" t="s">
        <v>66</v>
      </c>
    </row>
    <row r="98" spans="1:11" x14ac:dyDescent="0.3">
      <c r="A98" s="15" t="str">
        <f>A97</f>
        <v>Roast pork</v>
      </c>
      <c r="B98" t="s">
        <v>19</v>
      </c>
      <c r="C98">
        <v>2</v>
      </c>
      <c r="D98" t="s">
        <v>18</v>
      </c>
      <c r="J98" s="11"/>
    </row>
    <row r="99" spans="1:11" x14ac:dyDescent="0.3">
      <c r="A99" s="15" t="str">
        <f t="shared" ref="A99:A109" si="8">A98</f>
        <v>Roast pork</v>
      </c>
      <c r="B99" t="s">
        <v>97</v>
      </c>
      <c r="C99">
        <v>1.3</v>
      </c>
      <c r="D99" t="s">
        <v>51</v>
      </c>
      <c r="J99" s="11"/>
    </row>
    <row r="100" spans="1:11" x14ac:dyDescent="0.3">
      <c r="A100" s="15" t="str">
        <f t="shared" si="8"/>
        <v>Roast pork</v>
      </c>
      <c r="B100" t="s">
        <v>98</v>
      </c>
      <c r="C100">
        <v>500</v>
      </c>
      <c r="D100" t="s">
        <v>22</v>
      </c>
      <c r="J100" s="11"/>
    </row>
    <row r="101" spans="1:11" x14ac:dyDescent="0.3">
      <c r="A101" s="15" t="str">
        <f t="shared" si="8"/>
        <v>Roast pork</v>
      </c>
      <c r="B101" t="s">
        <v>99</v>
      </c>
      <c r="C101">
        <v>2</v>
      </c>
      <c r="D101" t="s">
        <v>18</v>
      </c>
      <c r="J101" s="11"/>
    </row>
    <row r="102" spans="1:11" x14ac:dyDescent="0.3">
      <c r="A102" s="15" t="str">
        <f t="shared" si="8"/>
        <v>Roast pork</v>
      </c>
      <c r="B102" t="s">
        <v>100</v>
      </c>
      <c r="C102">
        <v>400</v>
      </c>
      <c r="D102" t="s">
        <v>17</v>
      </c>
      <c r="J102" s="11"/>
    </row>
    <row r="103" spans="1:11" x14ac:dyDescent="0.3">
      <c r="A103" s="15" t="str">
        <f t="shared" si="8"/>
        <v>Roast pork</v>
      </c>
      <c r="B103" t="s">
        <v>101</v>
      </c>
      <c r="C103">
        <v>20</v>
      </c>
      <c r="D103" t="s">
        <v>17</v>
      </c>
      <c r="J103" s="11"/>
    </row>
    <row r="104" spans="1:11" x14ac:dyDescent="0.3">
      <c r="A104" s="15" t="str">
        <f t="shared" si="8"/>
        <v>Roast pork</v>
      </c>
      <c r="B104" t="s">
        <v>102</v>
      </c>
      <c r="C104">
        <v>10</v>
      </c>
      <c r="D104" t="s">
        <v>17</v>
      </c>
      <c r="J104" s="11"/>
    </row>
    <row r="105" spans="1:11" x14ac:dyDescent="0.3">
      <c r="A105" s="15" t="str">
        <f t="shared" si="8"/>
        <v>Roast pork</v>
      </c>
      <c r="B105" t="s">
        <v>103</v>
      </c>
      <c r="C105">
        <v>5</v>
      </c>
      <c r="D105" t="s">
        <v>17</v>
      </c>
      <c r="J105" s="11"/>
    </row>
    <row r="106" spans="1:11" x14ac:dyDescent="0.3">
      <c r="A106" s="15" t="str">
        <f t="shared" si="8"/>
        <v>Roast pork</v>
      </c>
      <c r="B106" t="s">
        <v>56</v>
      </c>
      <c r="C106">
        <v>5</v>
      </c>
      <c r="D106" t="s">
        <v>17</v>
      </c>
      <c r="J106" s="11"/>
    </row>
    <row r="107" spans="1:11" x14ac:dyDescent="0.3">
      <c r="A107" s="15" t="str">
        <f t="shared" si="8"/>
        <v>Roast pork</v>
      </c>
      <c r="B107" t="s">
        <v>104</v>
      </c>
      <c r="C107">
        <v>5</v>
      </c>
      <c r="D107" t="s">
        <v>17</v>
      </c>
      <c r="J107" s="11"/>
    </row>
    <row r="108" spans="1:11" x14ac:dyDescent="0.3">
      <c r="A108" s="15" t="str">
        <f t="shared" si="8"/>
        <v>Roast pork</v>
      </c>
      <c r="B108" t="s">
        <v>26</v>
      </c>
      <c r="C108">
        <v>0.1</v>
      </c>
      <c r="D108" t="s">
        <v>30</v>
      </c>
      <c r="J108" s="11"/>
    </row>
    <row r="109" spans="1:11" x14ac:dyDescent="0.3">
      <c r="A109" s="15" t="str">
        <f t="shared" si="8"/>
        <v>Roast pork</v>
      </c>
      <c r="B109" t="s">
        <v>27</v>
      </c>
      <c r="C109">
        <v>0.1</v>
      </c>
      <c r="D109" t="s">
        <v>30</v>
      </c>
      <c r="J109" s="11"/>
    </row>
    <row r="110" spans="1:11" x14ac:dyDescent="0.3">
      <c r="A110" s="1" t="s">
        <v>107</v>
      </c>
      <c r="B110" s="1" t="s">
        <v>108</v>
      </c>
      <c r="C110" s="1">
        <v>4</v>
      </c>
      <c r="D110" t="s">
        <v>144</v>
      </c>
      <c r="E110" s="5">
        <v>6.9444444444444441E-3</v>
      </c>
      <c r="F110" s="5">
        <v>2.7777777777777776E-2</v>
      </c>
      <c r="G110" s="1" t="s">
        <v>112</v>
      </c>
      <c r="H110" s="1" t="s">
        <v>114</v>
      </c>
      <c r="I110" s="1" t="s">
        <v>113</v>
      </c>
      <c r="J110" s="18">
        <v>43713</v>
      </c>
      <c r="K110" s="1" t="s">
        <v>115</v>
      </c>
    </row>
    <row r="111" spans="1:11" x14ac:dyDescent="0.3">
      <c r="A111" s="15" t="str">
        <f>A110</f>
        <v>Baked Fennel</v>
      </c>
      <c r="B111" t="s">
        <v>21</v>
      </c>
      <c r="C111">
        <v>45</v>
      </c>
      <c r="D111" t="s">
        <v>22</v>
      </c>
      <c r="J111" s="11"/>
    </row>
    <row r="112" spans="1:11" x14ac:dyDescent="0.3">
      <c r="A112" s="15" t="str">
        <f t="shared" ref="A112:A117" si="9">A111</f>
        <v>Baked Fennel</v>
      </c>
      <c r="B112" t="s">
        <v>14</v>
      </c>
      <c r="C112">
        <v>2</v>
      </c>
      <c r="D112" t="s">
        <v>146</v>
      </c>
      <c r="J112" s="11"/>
    </row>
    <row r="113" spans="1:11" x14ac:dyDescent="0.3">
      <c r="A113" s="15" t="str">
        <f t="shared" si="9"/>
        <v>Baked Fennel</v>
      </c>
      <c r="B113" t="s">
        <v>109</v>
      </c>
      <c r="C113">
        <v>3</v>
      </c>
      <c r="D113" t="s">
        <v>30</v>
      </c>
      <c r="J113" s="11"/>
    </row>
    <row r="114" spans="1:11" x14ac:dyDescent="0.3">
      <c r="A114" s="15" t="str">
        <f t="shared" si="9"/>
        <v>Baked Fennel</v>
      </c>
      <c r="B114" t="s">
        <v>110</v>
      </c>
      <c r="C114">
        <v>3</v>
      </c>
      <c r="D114" t="s">
        <v>30</v>
      </c>
      <c r="J114" s="11"/>
    </row>
    <row r="115" spans="1:11" x14ac:dyDescent="0.3">
      <c r="A115" s="15" t="str">
        <f t="shared" si="9"/>
        <v>Baked Fennel</v>
      </c>
      <c r="B115" t="s">
        <v>111</v>
      </c>
      <c r="C115">
        <v>0.1</v>
      </c>
      <c r="D115" t="s">
        <v>30</v>
      </c>
      <c r="J115" s="11"/>
    </row>
    <row r="116" spans="1:11" x14ac:dyDescent="0.3">
      <c r="A116" s="15" t="str">
        <f t="shared" si="9"/>
        <v>Baked Fennel</v>
      </c>
      <c r="B116" t="s">
        <v>27</v>
      </c>
      <c r="C116">
        <v>0.1</v>
      </c>
      <c r="D116" t="s">
        <v>30</v>
      </c>
      <c r="J116" s="11"/>
    </row>
    <row r="117" spans="1:11" x14ac:dyDescent="0.3">
      <c r="A117" s="15" t="str">
        <f t="shared" si="9"/>
        <v>Baked Fennel</v>
      </c>
      <c r="B117" t="s">
        <v>59</v>
      </c>
      <c r="C117">
        <v>25</v>
      </c>
      <c r="D117" t="s">
        <v>17</v>
      </c>
      <c r="J117" s="11"/>
    </row>
    <row r="118" spans="1:11" x14ac:dyDescent="0.3">
      <c r="A118" s="1" t="s">
        <v>116</v>
      </c>
      <c r="B118" s="1" t="s">
        <v>117</v>
      </c>
      <c r="C118" s="1">
        <v>25</v>
      </c>
      <c r="D118" s="1" t="s">
        <v>17</v>
      </c>
      <c r="E118" s="5">
        <v>1.3888888888888888E-2</v>
      </c>
      <c r="F118" s="5">
        <v>7.2916666666666671E-2</v>
      </c>
      <c r="G118" s="1">
        <v>8</v>
      </c>
      <c r="H118" s="1" t="s">
        <v>172</v>
      </c>
      <c r="I118" s="1" t="s">
        <v>127</v>
      </c>
      <c r="J118" s="18">
        <v>40087</v>
      </c>
      <c r="K118" s="1" t="s">
        <v>128</v>
      </c>
    </row>
    <row r="119" spans="1:11" x14ac:dyDescent="0.3">
      <c r="A119" s="15" t="str">
        <f>A118</f>
        <v>Wild mushroom &amp; walnut soup</v>
      </c>
      <c r="B119" t="s">
        <v>39</v>
      </c>
      <c r="C119">
        <v>275</v>
      </c>
      <c r="D119" t="s">
        <v>22</v>
      </c>
    </row>
    <row r="120" spans="1:11" x14ac:dyDescent="0.3">
      <c r="A120" s="15" t="str">
        <f t="shared" ref="A120:A134" si="10">A119</f>
        <v>Wild mushroom &amp; walnut soup</v>
      </c>
      <c r="B120" t="s">
        <v>101</v>
      </c>
      <c r="C120">
        <v>75</v>
      </c>
      <c r="D120" t="s">
        <v>17</v>
      </c>
    </row>
    <row r="121" spans="1:11" x14ac:dyDescent="0.3">
      <c r="A121" s="15" t="str">
        <f t="shared" si="10"/>
        <v>Wild mushroom &amp; walnut soup</v>
      </c>
      <c r="B121" t="s">
        <v>118</v>
      </c>
      <c r="C121">
        <v>110</v>
      </c>
      <c r="D121" t="s">
        <v>17</v>
      </c>
    </row>
    <row r="122" spans="1:11" x14ac:dyDescent="0.3">
      <c r="A122" s="15" t="str">
        <f t="shared" si="10"/>
        <v>Wild mushroom &amp; walnut soup</v>
      </c>
      <c r="B122" t="s">
        <v>23</v>
      </c>
      <c r="C122">
        <v>2</v>
      </c>
      <c r="D122" t="s">
        <v>144</v>
      </c>
    </row>
    <row r="123" spans="1:11" x14ac:dyDescent="0.3">
      <c r="A123" s="15" t="str">
        <f t="shared" si="10"/>
        <v>Wild mushroom &amp; walnut soup</v>
      </c>
      <c r="B123" t="s">
        <v>119</v>
      </c>
      <c r="C123">
        <v>2</v>
      </c>
      <c r="D123" t="s">
        <v>144</v>
      </c>
    </row>
    <row r="124" spans="1:11" x14ac:dyDescent="0.3">
      <c r="A124" s="15" t="str">
        <f t="shared" si="10"/>
        <v>Wild mushroom &amp; walnut soup</v>
      </c>
      <c r="B124" t="s">
        <v>11</v>
      </c>
      <c r="C124">
        <v>1</v>
      </c>
      <c r="D124" t="s">
        <v>144</v>
      </c>
    </row>
    <row r="125" spans="1:11" x14ac:dyDescent="0.3">
      <c r="A125" s="15" t="str">
        <f t="shared" si="10"/>
        <v>Wild mushroom &amp; walnut soup</v>
      </c>
      <c r="B125" t="s">
        <v>120</v>
      </c>
      <c r="C125">
        <v>1</v>
      </c>
      <c r="D125" t="s">
        <v>144</v>
      </c>
    </row>
    <row r="126" spans="1:11" x14ac:dyDescent="0.3">
      <c r="A126" s="15" t="str">
        <f t="shared" si="10"/>
        <v>Wild mushroom &amp; walnut soup</v>
      </c>
      <c r="B126" t="s">
        <v>121</v>
      </c>
      <c r="C126">
        <v>2</v>
      </c>
      <c r="D126" t="s">
        <v>144</v>
      </c>
    </row>
    <row r="127" spans="1:11" x14ac:dyDescent="0.3">
      <c r="A127" s="15" t="str">
        <f t="shared" si="10"/>
        <v>Wild mushroom &amp; walnut soup</v>
      </c>
      <c r="B127" t="s">
        <v>48</v>
      </c>
      <c r="C127">
        <v>10</v>
      </c>
      <c r="D127" t="s">
        <v>17</v>
      </c>
    </row>
    <row r="128" spans="1:11" x14ac:dyDescent="0.3">
      <c r="A128" s="15" t="str">
        <f t="shared" si="10"/>
        <v>Wild mushroom &amp; walnut soup</v>
      </c>
      <c r="B128" t="s">
        <v>14</v>
      </c>
      <c r="C128">
        <v>2</v>
      </c>
      <c r="D128" t="s">
        <v>146</v>
      </c>
    </row>
    <row r="129" spans="1:4" x14ac:dyDescent="0.3">
      <c r="A129" s="15" t="str">
        <f t="shared" si="10"/>
        <v>Wild mushroom &amp; walnut soup</v>
      </c>
      <c r="B129" t="s">
        <v>122</v>
      </c>
      <c r="C129">
        <v>2</v>
      </c>
      <c r="D129" t="s">
        <v>123</v>
      </c>
    </row>
    <row r="130" spans="1:4" x14ac:dyDescent="0.3">
      <c r="A130" s="15" t="str">
        <f t="shared" si="10"/>
        <v>Wild mushroom &amp; walnut soup</v>
      </c>
      <c r="B130" t="s">
        <v>124</v>
      </c>
      <c r="C130">
        <v>225</v>
      </c>
      <c r="D130" t="s">
        <v>17</v>
      </c>
    </row>
    <row r="131" spans="1:4" x14ac:dyDescent="0.3">
      <c r="A131" s="15" t="str">
        <f t="shared" si="10"/>
        <v>Wild mushroom &amp; walnut soup</v>
      </c>
      <c r="B131" t="s">
        <v>44</v>
      </c>
      <c r="C131">
        <v>110</v>
      </c>
      <c r="D131" t="s">
        <v>17</v>
      </c>
    </row>
    <row r="132" spans="1:4" x14ac:dyDescent="0.3">
      <c r="A132" s="15" t="str">
        <f t="shared" si="10"/>
        <v>Wild mushroom &amp; walnut soup</v>
      </c>
      <c r="B132" t="s">
        <v>125</v>
      </c>
      <c r="C132">
        <v>75</v>
      </c>
      <c r="D132" t="s">
        <v>22</v>
      </c>
    </row>
    <row r="133" spans="1:4" x14ac:dyDescent="0.3">
      <c r="A133" s="15" t="str">
        <f t="shared" si="10"/>
        <v>Wild mushroom &amp; walnut soup</v>
      </c>
      <c r="B133" t="s">
        <v>126</v>
      </c>
      <c r="C133">
        <v>75</v>
      </c>
      <c r="D133" t="s">
        <v>22</v>
      </c>
    </row>
    <row r="134" spans="1:4" x14ac:dyDescent="0.3">
      <c r="A134" s="15" t="str">
        <f t="shared" si="10"/>
        <v>Wild mushroom &amp; walnut soup</v>
      </c>
      <c r="B134" t="s">
        <v>33</v>
      </c>
      <c r="C134">
        <v>10</v>
      </c>
      <c r="D134" t="s">
        <v>22</v>
      </c>
    </row>
  </sheetData>
  <autoFilter ref="A3:K134" xr:uid="{673C6445-54B7-490B-A51F-EF78BC1CD38D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51D6-EFF1-4D8F-9726-852904EAE004}">
  <dimension ref="A1:H84"/>
  <sheetViews>
    <sheetView workbookViewId="0">
      <selection activeCell="K2" sqref="K2"/>
    </sheetView>
  </sheetViews>
  <sheetFormatPr defaultRowHeight="14.4" x14ac:dyDescent="0.3"/>
  <cols>
    <col min="1" max="1" width="13.21875" bestFit="1" customWidth="1"/>
    <col min="2" max="2" width="15.44140625" bestFit="1" customWidth="1"/>
    <col min="7" max="7" width="19.88671875" bestFit="1" customWidth="1"/>
    <col min="8" max="8" width="15.44140625" bestFit="1" customWidth="1"/>
  </cols>
  <sheetData>
    <row r="1" spans="1:8" x14ac:dyDescent="0.3">
      <c r="A1" t="s">
        <v>158</v>
      </c>
      <c r="B1" t="s">
        <v>159</v>
      </c>
      <c r="D1" t="s">
        <v>160</v>
      </c>
      <c r="E1" t="s">
        <v>143</v>
      </c>
      <c r="G1" t="s">
        <v>152</v>
      </c>
      <c r="H1" t="s">
        <v>158</v>
      </c>
    </row>
    <row r="2" spans="1:8" x14ac:dyDescent="0.3">
      <c r="A2" t="s">
        <v>129</v>
      </c>
      <c r="B2">
        <v>1</v>
      </c>
      <c r="D2" t="s">
        <v>17</v>
      </c>
      <c r="E2">
        <v>1</v>
      </c>
      <c r="G2" t="s">
        <v>11</v>
      </c>
      <c r="H2" t="s">
        <v>131</v>
      </c>
    </row>
    <row r="3" spans="1:8" x14ac:dyDescent="0.3">
      <c r="A3" t="s">
        <v>130</v>
      </c>
      <c r="B3">
        <v>2</v>
      </c>
      <c r="D3" t="s">
        <v>51</v>
      </c>
      <c r="E3">
        <v>2</v>
      </c>
      <c r="G3" t="s">
        <v>14</v>
      </c>
      <c r="H3" t="s">
        <v>131</v>
      </c>
    </row>
    <row r="4" spans="1:8" x14ac:dyDescent="0.3">
      <c r="A4" t="s">
        <v>131</v>
      </c>
      <c r="B4">
        <v>3</v>
      </c>
      <c r="D4" t="s">
        <v>22</v>
      </c>
      <c r="E4">
        <v>3</v>
      </c>
      <c r="G4" t="s">
        <v>34</v>
      </c>
      <c r="H4" t="s">
        <v>135</v>
      </c>
    </row>
    <row r="5" spans="1:8" x14ac:dyDescent="0.3">
      <c r="A5" t="s">
        <v>132</v>
      </c>
      <c r="B5">
        <v>4</v>
      </c>
      <c r="D5" t="s">
        <v>123</v>
      </c>
      <c r="E5">
        <v>4</v>
      </c>
      <c r="G5" t="s">
        <v>15</v>
      </c>
      <c r="H5" t="s">
        <v>136</v>
      </c>
    </row>
    <row r="6" spans="1:8" x14ac:dyDescent="0.3">
      <c r="A6" t="s">
        <v>133</v>
      </c>
      <c r="B6">
        <v>5</v>
      </c>
      <c r="D6" t="s">
        <v>30</v>
      </c>
      <c r="E6">
        <v>5</v>
      </c>
      <c r="G6" t="s">
        <v>16</v>
      </c>
      <c r="H6" t="s">
        <v>138</v>
      </c>
    </row>
    <row r="7" spans="1:8" x14ac:dyDescent="0.3">
      <c r="A7" t="s">
        <v>134</v>
      </c>
      <c r="B7">
        <v>6</v>
      </c>
      <c r="D7" t="s">
        <v>18</v>
      </c>
      <c r="E7">
        <v>6</v>
      </c>
      <c r="G7" t="s">
        <v>19</v>
      </c>
      <c r="H7" t="s">
        <v>138</v>
      </c>
    </row>
    <row r="8" spans="1:8" x14ac:dyDescent="0.3">
      <c r="A8" t="s">
        <v>135</v>
      </c>
      <c r="B8">
        <v>7</v>
      </c>
      <c r="D8" t="s">
        <v>144</v>
      </c>
      <c r="E8">
        <v>7</v>
      </c>
      <c r="G8" t="s">
        <v>20</v>
      </c>
      <c r="H8" t="s">
        <v>138</v>
      </c>
    </row>
    <row r="9" spans="1:8" x14ac:dyDescent="0.3">
      <c r="A9" t="s">
        <v>136</v>
      </c>
      <c r="B9">
        <v>8</v>
      </c>
      <c r="D9" t="s">
        <v>146</v>
      </c>
      <c r="E9">
        <v>8</v>
      </c>
      <c r="G9" t="s">
        <v>21</v>
      </c>
      <c r="H9" t="s">
        <v>137</v>
      </c>
    </row>
    <row r="10" spans="1:8" x14ac:dyDescent="0.3">
      <c r="A10" t="s">
        <v>137</v>
      </c>
      <c r="B10">
        <v>9</v>
      </c>
      <c r="D10" t="s">
        <v>147</v>
      </c>
      <c r="E10">
        <v>9</v>
      </c>
      <c r="G10" t="s">
        <v>23</v>
      </c>
      <c r="H10" t="s">
        <v>131</v>
      </c>
    </row>
    <row r="11" spans="1:8" x14ac:dyDescent="0.3">
      <c r="A11" t="s">
        <v>138</v>
      </c>
      <c r="B11">
        <v>10</v>
      </c>
      <c r="D11" t="s">
        <v>145</v>
      </c>
      <c r="E11">
        <v>10</v>
      </c>
      <c r="G11" t="s">
        <v>53</v>
      </c>
      <c r="H11" t="s">
        <v>138</v>
      </c>
    </row>
    <row r="12" spans="1:8" x14ac:dyDescent="0.3">
      <c r="A12" t="s">
        <v>141</v>
      </c>
      <c r="B12">
        <v>11</v>
      </c>
      <c r="D12" t="s">
        <v>148</v>
      </c>
      <c r="E12">
        <v>11</v>
      </c>
      <c r="G12" t="s">
        <v>24</v>
      </c>
      <c r="H12" t="s">
        <v>129</v>
      </c>
    </row>
    <row r="13" spans="1:8" x14ac:dyDescent="0.3">
      <c r="A13" t="s">
        <v>140</v>
      </c>
      <c r="B13">
        <v>12</v>
      </c>
      <c r="G13" t="s">
        <v>25</v>
      </c>
      <c r="H13" t="s">
        <v>132</v>
      </c>
    </row>
    <row r="14" spans="1:8" x14ac:dyDescent="0.3">
      <c r="A14" t="s">
        <v>142</v>
      </c>
      <c r="B14">
        <v>13</v>
      </c>
      <c r="G14" t="s">
        <v>26</v>
      </c>
      <c r="H14" t="s">
        <v>140</v>
      </c>
    </row>
    <row r="15" spans="1:8" x14ac:dyDescent="0.3">
      <c r="G15" t="s">
        <v>27</v>
      </c>
      <c r="H15" t="s">
        <v>136</v>
      </c>
    </row>
    <row r="16" spans="1:8" x14ac:dyDescent="0.3">
      <c r="G16" t="s">
        <v>28</v>
      </c>
      <c r="H16" t="s">
        <v>130</v>
      </c>
    </row>
    <row r="17" spans="7:8" x14ac:dyDescent="0.3">
      <c r="G17" t="s">
        <v>151</v>
      </c>
      <c r="H17" t="s">
        <v>136</v>
      </c>
    </row>
    <row r="18" spans="7:8" x14ac:dyDescent="0.3">
      <c r="G18" t="s">
        <v>29</v>
      </c>
      <c r="H18" t="s">
        <v>136</v>
      </c>
    </row>
    <row r="19" spans="7:8" x14ac:dyDescent="0.3">
      <c r="G19" t="s">
        <v>31</v>
      </c>
      <c r="H19" t="s">
        <v>131</v>
      </c>
    </row>
    <row r="20" spans="7:8" x14ac:dyDescent="0.3">
      <c r="G20" t="s">
        <v>32</v>
      </c>
      <c r="H20" t="s">
        <v>138</v>
      </c>
    </row>
    <row r="21" spans="7:8" x14ac:dyDescent="0.3">
      <c r="G21" t="s">
        <v>33</v>
      </c>
      <c r="H21" t="s">
        <v>132</v>
      </c>
    </row>
    <row r="22" spans="7:8" x14ac:dyDescent="0.3">
      <c r="G22" t="s">
        <v>37</v>
      </c>
      <c r="H22" t="s">
        <v>133</v>
      </c>
    </row>
    <row r="23" spans="7:8" x14ac:dyDescent="0.3">
      <c r="G23" t="s">
        <v>38</v>
      </c>
      <c r="H23" t="s">
        <v>134</v>
      </c>
    </row>
    <row r="24" spans="7:8" x14ac:dyDescent="0.3">
      <c r="G24" t="s">
        <v>39</v>
      </c>
      <c r="H24" t="s">
        <v>142</v>
      </c>
    </row>
    <row r="25" spans="7:8" x14ac:dyDescent="0.3">
      <c r="G25" t="s">
        <v>40</v>
      </c>
      <c r="H25" t="s">
        <v>135</v>
      </c>
    </row>
    <row r="26" spans="7:8" x14ac:dyDescent="0.3">
      <c r="G26" t="s">
        <v>41</v>
      </c>
      <c r="H26" t="s">
        <v>134</v>
      </c>
    </row>
    <row r="27" spans="7:8" x14ac:dyDescent="0.3">
      <c r="G27" t="s">
        <v>42</v>
      </c>
      <c r="H27" t="s">
        <v>142</v>
      </c>
    </row>
    <row r="28" spans="7:8" x14ac:dyDescent="0.3">
      <c r="G28" t="s">
        <v>43</v>
      </c>
      <c r="H28" t="s">
        <v>132</v>
      </c>
    </row>
    <row r="29" spans="7:8" x14ac:dyDescent="0.3">
      <c r="G29" t="s">
        <v>44</v>
      </c>
      <c r="H29" t="s">
        <v>141</v>
      </c>
    </row>
    <row r="30" spans="7:8" x14ac:dyDescent="0.3">
      <c r="G30" t="s">
        <v>45</v>
      </c>
      <c r="H30" t="s">
        <v>138</v>
      </c>
    </row>
    <row r="31" spans="7:8" x14ac:dyDescent="0.3">
      <c r="G31" t="s">
        <v>62</v>
      </c>
      <c r="H31" t="s">
        <v>131</v>
      </c>
    </row>
    <row r="32" spans="7:8" x14ac:dyDescent="0.3">
      <c r="G32" t="s">
        <v>47</v>
      </c>
      <c r="H32" t="s">
        <v>131</v>
      </c>
    </row>
    <row r="33" spans="7:8" x14ac:dyDescent="0.3">
      <c r="G33" t="s">
        <v>48</v>
      </c>
      <c r="H33" t="s">
        <v>135</v>
      </c>
    </row>
    <row r="34" spans="7:8" x14ac:dyDescent="0.3">
      <c r="G34" t="s">
        <v>49</v>
      </c>
      <c r="H34" t="s">
        <v>136</v>
      </c>
    </row>
    <row r="35" spans="7:8" x14ac:dyDescent="0.3">
      <c r="G35" t="s">
        <v>61</v>
      </c>
      <c r="H35" t="s">
        <v>131</v>
      </c>
    </row>
    <row r="36" spans="7:8" x14ac:dyDescent="0.3">
      <c r="G36" t="s">
        <v>52</v>
      </c>
      <c r="H36" t="s">
        <v>140</v>
      </c>
    </row>
    <row r="37" spans="7:8" x14ac:dyDescent="0.3">
      <c r="G37" t="s">
        <v>54</v>
      </c>
      <c r="H37" t="s">
        <v>130</v>
      </c>
    </row>
    <row r="38" spans="7:8" x14ac:dyDescent="0.3">
      <c r="G38" t="s">
        <v>55</v>
      </c>
      <c r="H38" t="s">
        <v>135</v>
      </c>
    </row>
    <row r="39" spans="7:8" x14ac:dyDescent="0.3">
      <c r="G39" t="s">
        <v>56</v>
      </c>
      <c r="H39" t="s">
        <v>135</v>
      </c>
    </row>
    <row r="40" spans="7:8" x14ac:dyDescent="0.3">
      <c r="G40" t="s">
        <v>58</v>
      </c>
      <c r="H40" t="s">
        <v>134</v>
      </c>
    </row>
    <row r="41" spans="7:8" x14ac:dyDescent="0.3">
      <c r="G41" t="s">
        <v>59</v>
      </c>
      <c r="H41" t="s">
        <v>134</v>
      </c>
    </row>
    <row r="42" spans="7:8" x14ac:dyDescent="0.3">
      <c r="G42" t="s">
        <v>60</v>
      </c>
      <c r="H42" t="s">
        <v>131</v>
      </c>
    </row>
    <row r="43" spans="7:8" x14ac:dyDescent="0.3">
      <c r="G43" t="s">
        <v>69</v>
      </c>
      <c r="H43" t="s">
        <v>132</v>
      </c>
    </row>
    <row r="44" spans="7:8" x14ac:dyDescent="0.3">
      <c r="G44" t="s">
        <v>70</v>
      </c>
      <c r="H44" t="s">
        <v>133</v>
      </c>
    </row>
    <row r="45" spans="7:8" x14ac:dyDescent="0.3">
      <c r="G45" t="s">
        <v>71</v>
      </c>
      <c r="H45" t="s">
        <v>138</v>
      </c>
    </row>
    <row r="46" spans="7:8" x14ac:dyDescent="0.3">
      <c r="G46" t="s">
        <v>72</v>
      </c>
      <c r="H46" t="s">
        <v>134</v>
      </c>
    </row>
    <row r="47" spans="7:8" x14ac:dyDescent="0.3">
      <c r="G47" t="s">
        <v>73</v>
      </c>
      <c r="H47" t="s">
        <v>134</v>
      </c>
    </row>
    <row r="48" spans="7:8" x14ac:dyDescent="0.3">
      <c r="G48" t="s">
        <v>74</v>
      </c>
      <c r="H48" t="s">
        <v>138</v>
      </c>
    </row>
    <row r="49" spans="7:8" x14ac:dyDescent="0.3">
      <c r="G49" t="s">
        <v>80</v>
      </c>
      <c r="H49" t="s">
        <v>138</v>
      </c>
    </row>
    <row r="50" spans="7:8" x14ac:dyDescent="0.3">
      <c r="G50" t="s">
        <v>78</v>
      </c>
      <c r="H50" t="s">
        <v>133</v>
      </c>
    </row>
    <row r="51" spans="7:8" x14ac:dyDescent="0.3">
      <c r="G51" t="s">
        <v>167</v>
      </c>
      <c r="H51" t="s">
        <v>133</v>
      </c>
    </row>
    <row r="52" spans="7:8" x14ac:dyDescent="0.3">
      <c r="G52" t="s">
        <v>79</v>
      </c>
      <c r="H52" t="s">
        <v>136</v>
      </c>
    </row>
    <row r="53" spans="7:8" x14ac:dyDescent="0.3">
      <c r="G53" t="s">
        <v>81</v>
      </c>
      <c r="H53" t="s">
        <v>138</v>
      </c>
    </row>
    <row r="54" spans="7:8" x14ac:dyDescent="0.3">
      <c r="G54" t="s">
        <v>82</v>
      </c>
      <c r="H54" t="s">
        <v>134</v>
      </c>
    </row>
    <row r="55" spans="7:8" x14ac:dyDescent="0.3">
      <c r="G55" t="s">
        <v>83</v>
      </c>
      <c r="H55" t="s">
        <v>132</v>
      </c>
    </row>
    <row r="56" spans="7:8" x14ac:dyDescent="0.3">
      <c r="G56" t="s">
        <v>88</v>
      </c>
      <c r="H56" t="s">
        <v>131</v>
      </c>
    </row>
    <row r="57" spans="7:8" x14ac:dyDescent="0.3">
      <c r="G57" t="s">
        <v>89</v>
      </c>
      <c r="H57" t="s">
        <v>131</v>
      </c>
    </row>
    <row r="58" spans="7:8" x14ac:dyDescent="0.3">
      <c r="G58" t="s">
        <v>90</v>
      </c>
      <c r="H58" t="s">
        <v>131</v>
      </c>
    </row>
    <row r="59" spans="7:8" x14ac:dyDescent="0.3">
      <c r="G59" t="s">
        <v>91</v>
      </c>
      <c r="H59" t="s">
        <v>131</v>
      </c>
    </row>
    <row r="60" spans="7:8" x14ac:dyDescent="0.3">
      <c r="G60" t="s">
        <v>92</v>
      </c>
      <c r="H60" t="s">
        <v>132</v>
      </c>
    </row>
    <row r="61" spans="7:8" x14ac:dyDescent="0.3">
      <c r="G61" t="s">
        <v>93</v>
      </c>
      <c r="H61" t="s">
        <v>138</v>
      </c>
    </row>
    <row r="62" spans="7:8" x14ac:dyDescent="0.3">
      <c r="G62" t="s">
        <v>94</v>
      </c>
      <c r="H62" t="s">
        <v>138</v>
      </c>
    </row>
    <row r="63" spans="7:8" x14ac:dyDescent="0.3">
      <c r="G63" t="s">
        <v>139</v>
      </c>
      <c r="H63" t="s">
        <v>138</v>
      </c>
    </row>
    <row r="64" spans="7:8" x14ac:dyDescent="0.3">
      <c r="G64" t="s">
        <v>97</v>
      </c>
      <c r="H64" t="s">
        <v>129</v>
      </c>
    </row>
    <row r="65" spans="7:8" x14ac:dyDescent="0.3">
      <c r="G65" t="s">
        <v>98</v>
      </c>
      <c r="H65" t="s">
        <v>138</v>
      </c>
    </row>
    <row r="66" spans="7:8" x14ac:dyDescent="0.3">
      <c r="G66" t="s">
        <v>99</v>
      </c>
      <c r="H66" t="s">
        <v>138</v>
      </c>
    </row>
    <row r="67" spans="7:8" x14ac:dyDescent="0.3">
      <c r="G67" t="s">
        <v>100</v>
      </c>
      <c r="H67" t="s">
        <v>138</v>
      </c>
    </row>
    <row r="68" spans="7:8" x14ac:dyDescent="0.3">
      <c r="G68" t="s">
        <v>101</v>
      </c>
      <c r="H68" t="s">
        <v>134</v>
      </c>
    </row>
    <row r="69" spans="7:8" x14ac:dyDescent="0.3">
      <c r="G69" t="s">
        <v>102</v>
      </c>
      <c r="H69" t="s">
        <v>135</v>
      </c>
    </row>
    <row r="70" spans="7:8" x14ac:dyDescent="0.3">
      <c r="G70" t="s">
        <v>103</v>
      </c>
      <c r="H70" t="s">
        <v>135</v>
      </c>
    </row>
    <row r="71" spans="7:8" x14ac:dyDescent="0.3">
      <c r="G71" t="s">
        <v>104</v>
      </c>
      <c r="H71" t="s">
        <v>135</v>
      </c>
    </row>
    <row r="72" spans="7:8" x14ac:dyDescent="0.3">
      <c r="G72" t="s">
        <v>108</v>
      </c>
      <c r="H72" t="s">
        <v>131</v>
      </c>
    </row>
    <row r="73" spans="7:8" x14ac:dyDescent="0.3">
      <c r="G73" t="s">
        <v>109</v>
      </c>
      <c r="H73" t="s">
        <v>136</v>
      </c>
    </row>
    <row r="74" spans="7:8" x14ac:dyDescent="0.3">
      <c r="G74" t="s">
        <v>110</v>
      </c>
      <c r="H74" t="s">
        <v>136</v>
      </c>
    </row>
    <row r="75" spans="7:8" x14ac:dyDescent="0.3">
      <c r="G75" t="s">
        <v>111</v>
      </c>
      <c r="H75" t="s">
        <v>140</v>
      </c>
    </row>
    <row r="76" spans="7:8" x14ac:dyDescent="0.3">
      <c r="G76" t="s">
        <v>117</v>
      </c>
      <c r="H76" t="s">
        <v>131</v>
      </c>
    </row>
    <row r="77" spans="7:8" x14ac:dyDescent="0.3">
      <c r="G77" t="s">
        <v>118</v>
      </c>
      <c r="H77" t="s">
        <v>131</v>
      </c>
    </row>
    <row r="78" spans="7:8" x14ac:dyDescent="0.3">
      <c r="G78" t="s">
        <v>119</v>
      </c>
      <c r="H78" t="s">
        <v>131</v>
      </c>
    </row>
    <row r="79" spans="7:8" x14ac:dyDescent="0.3">
      <c r="G79" t="s">
        <v>120</v>
      </c>
      <c r="H79" t="s">
        <v>131</v>
      </c>
    </row>
    <row r="80" spans="7:8" x14ac:dyDescent="0.3">
      <c r="G80" t="s">
        <v>121</v>
      </c>
      <c r="H80" t="s">
        <v>135</v>
      </c>
    </row>
    <row r="81" spans="7:8" x14ac:dyDescent="0.3">
      <c r="G81" t="s">
        <v>122</v>
      </c>
      <c r="H81" t="s">
        <v>138</v>
      </c>
    </row>
    <row r="82" spans="7:8" x14ac:dyDescent="0.3">
      <c r="G82" t="s">
        <v>124</v>
      </c>
      <c r="H82" t="s">
        <v>131</v>
      </c>
    </row>
    <row r="83" spans="7:8" x14ac:dyDescent="0.3">
      <c r="G83" t="s">
        <v>125</v>
      </c>
      <c r="H83" t="s">
        <v>134</v>
      </c>
    </row>
    <row r="84" spans="7:8" x14ac:dyDescent="0.3">
      <c r="G84" t="s">
        <v>126</v>
      </c>
      <c r="H84" t="s">
        <v>142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A44A1-2E7F-4326-8A33-B6A5418E1C67}">
  <dimension ref="A1:F10"/>
  <sheetViews>
    <sheetView workbookViewId="0">
      <selection activeCell="A11" sqref="A11"/>
    </sheetView>
  </sheetViews>
  <sheetFormatPr defaultRowHeight="14.4" x14ac:dyDescent="0.3"/>
  <cols>
    <col min="1" max="1" width="23.33203125" bestFit="1" customWidth="1"/>
    <col min="2" max="2" width="14.77734375" bestFit="1" customWidth="1"/>
    <col min="3" max="3" width="13.6640625" bestFit="1" customWidth="1"/>
    <col min="4" max="4" width="13.21875" bestFit="1" customWidth="1"/>
    <col min="5" max="5" width="11" bestFit="1" customWidth="1"/>
  </cols>
  <sheetData>
    <row r="1" spans="1:6" x14ac:dyDescent="0.3">
      <c r="A1" t="s">
        <v>154</v>
      </c>
      <c r="B1" t="s">
        <v>155</v>
      </c>
      <c r="C1" s="10" t="s">
        <v>156</v>
      </c>
      <c r="D1" s="10" t="s">
        <v>153</v>
      </c>
      <c r="E1" t="s">
        <v>149</v>
      </c>
      <c r="F1" t="s">
        <v>157</v>
      </c>
    </row>
    <row r="2" spans="1:6" x14ac:dyDescent="0.3">
      <c r="A2" t="s">
        <v>13</v>
      </c>
      <c r="B2" t="str">
        <f>LEFT(F2, FIND(" ", F2)-1)</f>
        <v>Yotam</v>
      </c>
      <c r="C2" t="str">
        <f>RIGHT(F2,LEN(F2)-FIND(" ", F2))</f>
        <v>Ottolenghi</v>
      </c>
      <c r="D2" s="11">
        <f>VLOOKUP(A2,Main!$H$4:$J$118,3,FALSE)</f>
        <v>44483</v>
      </c>
      <c r="E2">
        <v>1</v>
      </c>
      <c r="F2" t="str">
        <f>VLOOKUP(A2,Main!$H$4:$I$118,2,FALSE)</f>
        <v>Yotam Ottolenghi</v>
      </c>
    </row>
    <row r="3" spans="1:6" x14ac:dyDescent="0.3">
      <c r="A3" t="s">
        <v>46</v>
      </c>
      <c r="B3" t="str">
        <f t="shared" ref="B3:B10" si="0">LEFT(F3, FIND(" ", F3)-1)</f>
        <v>Yotam</v>
      </c>
      <c r="C3" t="str">
        <f t="shared" ref="C3:C10" si="1">RIGHT(F3,LEN(F3)-FIND(" ", F3))</f>
        <v>Ottolenghi</v>
      </c>
      <c r="D3" s="11">
        <f>VLOOKUP(A3,Main!$H$4:$J$118,3,FALSE)</f>
        <v>43377</v>
      </c>
      <c r="E3">
        <v>2</v>
      </c>
      <c r="F3" t="str">
        <f>VLOOKUP(A3,Main!$H$4:$I$118,2,FALSE)</f>
        <v>Yotam Ottolenghi</v>
      </c>
    </row>
    <row r="4" spans="1:6" x14ac:dyDescent="0.3">
      <c r="A4" t="s">
        <v>64</v>
      </c>
      <c r="B4" t="str">
        <f t="shared" si="0"/>
        <v>Ixta</v>
      </c>
      <c r="C4" t="str">
        <f t="shared" si="1"/>
        <v>Belfrage</v>
      </c>
      <c r="D4" s="11">
        <f>VLOOKUP(A4,Main!$H$4:$J$118,3,FALSE)</f>
        <v>44756</v>
      </c>
      <c r="E4">
        <v>3</v>
      </c>
      <c r="F4" t="str">
        <f>VLOOKUP(A4,Main!$H$4:$I$118,2,FALSE)</f>
        <v>Ixta Belfrage</v>
      </c>
    </row>
    <row r="5" spans="1:6" x14ac:dyDescent="0.3">
      <c r="A5" t="s">
        <v>76</v>
      </c>
      <c r="B5" t="str">
        <f t="shared" si="0"/>
        <v>Georgina</v>
      </c>
      <c r="C5" t="str">
        <f t="shared" si="1"/>
        <v>Hayden</v>
      </c>
      <c r="D5" s="11">
        <f>VLOOKUP(A5,Main!$H$4:$J$118,3,FALSE)</f>
        <v>45099</v>
      </c>
      <c r="E5">
        <v>4</v>
      </c>
      <c r="F5" t="str">
        <f>VLOOKUP(A5,Main!$H$4:$I$118,2,FALSE)</f>
        <v>Georgina Hayden</v>
      </c>
    </row>
    <row r="6" spans="1:6" x14ac:dyDescent="0.3">
      <c r="A6" t="s">
        <v>85</v>
      </c>
      <c r="B6" t="str">
        <f t="shared" si="0"/>
        <v>Donna</v>
      </c>
      <c r="C6" t="str">
        <f t="shared" si="1"/>
        <v>Hay</v>
      </c>
      <c r="D6" s="11">
        <f>VLOOKUP(A6,Main!$H$4:$J$118,3,FALSE)</f>
        <v>43391</v>
      </c>
      <c r="E6">
        <v>5</v>
      </c>
      <c r="F6" t="str">
        <f>VLOOKUP(A6,Main!$H$4:$I$118,2,FALSE)</f>
        <v>Donna Hay</v>
      </c>
    </row>
    <row r="7" spans="1:6" x14ac:dyDescent="0.3">
      <c r="A7" t="s">
        <v>95</v>
      </c>
      <c r="B7" t="str">
        <f t="shared" si="0"/>
        <v>Georgina</v>
      </c>
      <c r="C7" t="str">
        <f t="shared" si="1"/>
        <v>Hayden</v>
      </c>
      <c r="D7" s="11">
        <f>VLOOKUP(A7,Main!$H$4:$J$118,3,FALSE)</f>
        <v>44987</v>
      </c>
      <c r="E7">
        <v>6</v>
      </c>
      <c r="F7" t="str">
        <f>VLOOKUP(A7,Main!$H$4:$I$118,2,FALSE)</f>
        <v>Georgina Hayden</v>
      </c>
    </row>
    <row r="8" spans="1:6" x14ac:dyDescent="0.3">
      <c r="A8" t="s">
        <v>106</v>
      </c>
      <c r="B8" t="str">
        <f t="shared" si="0"/>
        <v>James</v>
      </c>
      <c r="C8" t="str">
        <f t="shared" si="1"/>
        <v>Martin</v>
      </c>
      <c r="D8" s="11">
        <f>VLOOKUP(A8,Main!$H$4:$J$118,3,FALSE)</f>
        <v>42985</v>
      </c>
      <c r="E8">
        <v>7</v>
      </c>
      <c r="F8" t="str">
        <f>VLOOKUP(A8,Main!$H$4:$I$118,2,FALSE)</f>
        <v>James Martin</v>
      </c>
    </row>
    <row r="9" spans="1:6" x14ac:dyDescent="0.3">
      <c r="A9" t="s">
        <v>114</v>
      </c>
      <c r="B9" t="str">
        <f t="shared" si="0"/>
        <v>Diana</v>
      </c>
      <c r="C9" t="str">
        <f t="shared" si="1"/>
        <v>Henry</v>
      </c>
      <c r="D9" s="11">
        <f>VLOOKUP(A9,Main!$H$4:$J$118,3,FALSE)</f>
        <v>43713</v>
      </c>
      <c r="E9">
        <v>8</v>
      </c>
      <c r="F9" t="str">
        <f>VLOOKUP(A9,Main!$H$4:$I$118,2,FALSE)</f>
        <v>Diana Henry</v>
      </c>
    </row>
    <row r="10" spans="1:6" x14ac:dyDescent="0.3">
      <c r="A10" t="s">
        <v>172</v>
      </c>
      <c r="B10" t="str">
        <f t="shared" si="0"/>
        <v>Delia</v>
      </c>
      <c r="C10" t="str">
        <f t="shared" si="1"/>
        <v>Smith</v>
      </c>
      <c r="D10" s="11">
        <f>VLOOKUP(A10,Main!$H$4:$J$118,3,FALSE)</f>
        <v>40087</v>
      </c>
      <c r="E10">
        <v>9</v>
      </c>
      <c r="F10" t="str">
        <f>VLOOKUP(A10,Main!$H$4:$I$118,2,FALSE)</f>
        <v>Delia Smith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C6B12-190B-40DA-A143-380A7CF5719C}">
  <dimension ref="A1:D84"/>
  <sheetViews>
    <sheetView zoomScale="99" zoomScaleNormal="99" workbookViewId="0">
      <selection activeCell="E84" sqref="E84"/>
    </sheetView>
  </sheetViews>
  <sheetFormatPr defaultRowHeight="14.4" x14ac:dyDescent="0.3"/>
  <cols>
    <col min="1" max="1" width="14.44140625" bestFit="1" customWidth="1"/>
    <col min="2" max="2" width="15.44140625" bestFit="1" customWidth="1"/>
    <col min="4" max="4" width="11.21875" bestFit="1" customWidth="1"/>
  </cols>
  <sheetData>
    <row r="1" spans="1:4" x14ac:dyDescent="0.3">
      <c r="A1" t="s">
        <v>161</v>
      </c>
      <c r="B1" t="s">
        <v>158</v>
      </c>
      <c r="C1" t="s">
        <v>159</v>
      </c>
      <c r="D1" t="s">
        <v>165</v>
      </c>
    </row>
    <row r="2" spans="1:4" x14ac:dyDescent="0.3">
      <c r="A2" t="str" cm="1">
        <f t="array" ref="A2:A84">_xlfn.UNIQUE(Main!$B$4:$B$134)</f>
        <v>onion</v>
      </c>
      <c r="B2" t="str">
        <f>VLOOKUP(A2,others!$G$2:$H$84,2,FALSE)</f>
        <v>Vegetables</v>
      </c>
      <c r="C2">
        <f>VLOOKUP(B2,others!$A$2:$B$14,2,FALSE)</f>
        <v>3</v>
      </c>
      <c r="D2">
        <v>1</v>
      </c>
    </row>
    <row r="3" spans="1:4" x14ac:dyDescent="0.3">
      <c r="A3" t="str">
        <v>garlic clove</v>
      </c>
      <c r="B3" t="str">
        <f>VLOOKUP(A3,others!$G$2:$H$84,2,FALSE)</f>
        <v>Vegetables</v>
      </c>
      <c r="C3">
        <f>VLOOKUP(B3,others!$A$2:$B$14,2,FALSE)</f>
        <v>3</v>
      </c>
      <c r="D3">
        <f>D2+1</f>
        <v>2</v>
      </c>
    </row>
    <row r="4" spans="1:4" x14ac:dyDescent="0.3">
      <c r="A4" t="str">
        <v>coriander</v>
      </c>
      <c r="B4" t="str">
        <f>VLOOKUP(A4,others!$G$2:$H$84,2,FALSE)</f>
        <v>Herbs</v>
      </c>
      <c r="C4">
        <f>VLOOKUP(B4,others!$A$2:$B$14,2,FALSE)</f>
        <v>7</v>
      </c>
      <c r="D4">
        <f t="shared" ref="D4:D67" si="0">D3+1</f>
        <v>3</v>
      </c>
    </row>
    <row r="5" spans="1:4" x14ac:dyDescent="0.3">
      <c r="A5" t="str">
        <v>berbere spice</v>
      </c>
      <c r="B5" t="str">
        <f>VLOOKUP(A5,others!$G$2:$H$84,2,FALSE)</f>
        <v>Spices</v>
      </c>
      <c r="C5">
        <f>VLOOKUP(B5,others!$A$2:$B$14,2,FALSE)</f>
        <v>8</v>
      </c>
      <c r="D5">
        <f t="shared" si="0"/>
        <v>4</v>
      </c>
    </row>
    <row r="6" spans="1:4" x14ac:dyDescent="0.3">
      <c r="A6" t="str">
        <v>tomato paste</v>
      </c>
      <c r="B6" t="str">
        <f>VLOOKUP(A6,others!$G$2:$H$84,2,FALSE)</f>
        <v>Condiments</v>
      </c>
      <c r="C6">
        <f>VLOOKUP(B6,others!$A$2:$B$14,2,FALSE)</f>
        <v>10</v>
      </c>
      <c r="D6">
        <f t="shared" si="0"/>
        <v>5</v>
      </c>
    </row>
    <row r="7" spans="1:4" x14ac:dyDescent="0.3">
      <c r="A7" t="str">
        <v>honey</v>
      </c>
      <c r="B7" t="str">
        <f>VLOOKUP(A7,others!$G$2:$H$84,2,FALSE)</f>
        <v>Condiments</v>
      </c>
      <c r="C7">
        <f>VLOOKUP(B7,others!$A$2:$B$14,2,FALSE)</f>
        <v>10</v>
      </c>
      <c r="D7">
        <f t="shared" si="0"/>
        <v>6</v>
      </c>
    </row>
    <row r="8" spans="1:4" x14ac:dyDescent="0.3">
      <c r="A8" t="str">
        <v>apple cider vinegar</v>
      </c>
      <c r="B8" t="str">
        <f>VLOOKUP(A8,others!$G$2:$H$84,2,FALSE)</f>
        <v>Condiments</v>
      </c>
      <c r="C8">
        <f>VLOOKUP(B8,others!$A$2:$B$14,2,FALSE)</f>
        <v>10</v>
      </c>
      <c r="D8">
        <f t="shared" si="0"/>
        <v>7</v>
      </c>
    </row>
    <row r="9" spans="1:4" x14ac:dyDescent="0.3">
      <c r="A9" t="str">
        <v>olive oil</v>
      </c>
      <c r="B9" t="str">
        <f>VLOOKUP(A9,others!$G$2:$H$84,2,FALSE)</f>
        <v>Oils &amp; Fats</v>
      </c>
      <c r="C9">
        <f>VLOOKUP(B9,others!$A$2:$B$14,2,FALSE)</f>
        <v>9</v>
      </c>
      <c r="D9">
        <f t="shared" si="0"/>
        <v>8</v>
      </c>
    </row>
    <row r="10" spans="1:4" x14ac:dyDescent="0.3">
      <c r="A10" t="str">
        <v>carrots</v>
      </c>
      <c r="B10" t="str">
        <f>VLOOKUP(A10,others!$G$2:$H$84,2,FALSE)</f>
        <v>Vegetables</v>
      </c>
      <c r="C10">
        <f>VLOOKUP(B10,others!$A$2:$B$14,2,FALSE)</f>
        <v>3</v>
      </c>
      <c r="D10">
        <f t="shared" si="0"/>
        <v>9</v>
      </c>
    </row>
    <row r="11" spans="1:4" x14ac:dyDescent="0.3">
      <c r="A11" t="str">
        <v>tinned chickpeas</v>
      </c>
      <c r="B11" t="str">
        <f>VLOOKUP(A11,others!$G$2:$H$84,2,FALSE)</f>
        <v>Condiments</v>
      </c>
      <c r="C11">
        <f>VLOOKUP(B11,others!$A$2:$B$14,2,FALSE)</f>
        <v>10</v>
      </c>
      <c r="D11">
        <f t="shared" si="0"/>
        <v>10</v>
      </c>
    </row>
    <row r="12" spans="1:4" x14ac:dyDescent="0.3">
      <c r="A12" t="str">
        <v>chicken thigh</v>
      </c>
      <c r="B12" t="str">
        <f>VLOOKUP(A12,others!$G$2:$H$84,2,FALSE)</f>
        <v>Meat</v>
      </c>
      <c r="C12">
        <f>VLOOKUP(B12,others!$A$2:$B$14,2,FALSE)</f>
        <v>1</v>
      </c>
      <c r="D12">
        <f t="shared" si="0"/>
        <v>11</v>
      </c>
    </row>
    <row r="13" spans="1:4" x14ac:dyDescent="0.3">
      <c r="A13" t="str">
        <v>oranges</v>
      </c>
      <c r="B13" t="str">
        <f>VLOOKUP(A13,others!$G$2:$H$84,2,FALSE)</f>
        <v>Fruits</v>
      </c>
      <c r="C13">
        <f>VLOOKUP(B13,others!$A$2:$B$14,2,FALSE)</f>
        <v>4</v>
      </c>
      <c r="D13">
        <f t="shared" si="0"/>
        <v>12</v>
      </c>
    </row>
    <row r="14" spans="1:4" x14ac:dyDescent="0.3">
      <c r="A14" t="str">
        <v>salt</v>
      </c>
      <c r="B14" t="str">
        <f>VLOOKUP(A14,others!$G$2:$H$84,2,FALSE)</f>
        <v>Seasoning</v>
      </c>
      <c r="C14">
        <f>VLOOKUP(B14,others!$A$2:$B$14,2,FALSE)</f>
        <v>12</v>
      </c>
      <c r="D14">
        <f t="shared" si="0"/>
        <v>13</v>
      </c>
    </row>
    <row r="15" spans="1:4" x14ac:dyDescent="0.3">
      <c r="A15" t="str">
        <v>black pepper</v>
      </c>
      <c r="B15" t="str">
        <f>VLOOKUP(A15,others!$G$2:$H$84,2,FALSE)</f>
        <v>Spices</v>
      </c>
      <c r="C15">
        <f>VLOOKUP(B15,others!$A$2:$B$14,2,FALSE)</f>
        <v>8</v>
      </c>
      <c r="D15">
        <f t="shared" si="0"/>
        <v>14</v>
      </c>
    </row>
    <row r="16" spans="1:4" x14ac:dyDescent="0.3">
      <c r="A16" t="str">
        <v>salmon fillet</v>
      </c>
      <c r="B16" t="str">
        <f>VLOOKUP(A16,others!$G$2:$H$84,2,FALSE)</f>
        <v>Seafood</v>
      </c>
      <c r="C16">
        <f>VLOOKUP(B16,others!$A$2:$B$14,2,FALSE)</f>
        <v>2</v>
      </c>
      <c r="D16">
        <f t="shared" si="0"/>
        <v>15</v>
      </c>
    </row>
    <row r="17" spans="1:4" x14ac:dyDescent="0.3">
      <c r="A17" t="str">
        <v>zaatar</v>
      </c>
      <c r="B17" t="str">
        <f>VLOOKUP(A17,others!$G$2:$H$84,2,FALSE)</f>
        <v>Spices</v>
      </c>
      <c r="C17">
        <f>VLOOKUP(B17,others!$A$2:$B$14,2,FALSE)</f>
        <v>8</v>
      </c>
      <c r="D17">
        <f t="shared" si="0"/>
        <v>16</v>
      </c>
    </row>
    <row r="18" spans="1:4" x14ac:dyDescent="0.3">
      <c r="A18" t="str">
        <v>sumac</v>
      </c>
      <c r="B18" t="str">
        <f>VLOOKUP(A18,others!$G$2:$H$84,2,FALSE)</f>
        <v>Spices</v>
      </c>
      <c r="C18">
        <f>VLOOKUP(B18,others!$A$2:$B$14,2,FALSE)</f>
        <v>8</v>
      </c>
      <c r="D18">
        <f t="shared" si="0"/>
        <v>17</v>
      </c>
    </row>
    <row r="19" spans="1:4" x14ac:dyDescent="0.3">
      <c r="A19" t="str">
        <v>baby spinach</v>
      </c>
      <c r="B19" t="str">
        <f>VLOOKUP(A19,others!$G$2:$H$84,2,FALSE)</f>
        <v>Vegetables</v>
      </c>
      <c r="C19">
        <f>VLOOKUP(B19,others!$A$2:$B$14,2,FALSE)</f>
        <v>3</v>
      </c>
      <c r="D19">
        <f t="shared" si="0"/>
        <v>18</v>
      </c>
    </row>
    <row r="20" spans="1:4" x14ac:dyDescent="0.3">
      <c r="A20" t="str">
        <v>tahini</v>
      </c>
      <c r="B20" t="str">
        <f>VLOOKUP(A20,others!$G$2:$H$84,2,FALSE)</f>
        <v>Condiments</v>
      </c>
      <c r="C20">
        <f>VLOOKUP(B20,others!$A$2:$B$14,2,FALSE)</f>
        <v>10</v>
      </c>
      <c r="D20">
        <f t="shared" si="0"/>
        <v>19</v>
      </c>
    </row>
    <row r="21" spans="1:4" x14ac:dyDescent="0.3">
      <c r="A21" t="str">
        <v>lemon juice</v>
      </c>
      <c r="B21" t="str">
        <f>VLOOKUP(A21,others!$G$2:$H$84,2,FALSE)</f>
        <v>Fruits</v>
      </c>
      <c r="C21">
        <f>VLOOKUP(B21,others!$A$2:$B$14,2,FALSE)</f>
        <v>4</v>
      </c>
      <c r="D21">
        <f t="shared" si="0"/>
        <v>20</v>
      </c>
    </row>
    <row r="22" spans="1:4" x14ac:dyDescent="0.3">
      <c r="A22" t="str">
        <v>basmati rice</v>
      </c>
      <c r="B22" t="str">
        <f>VLOOKUP(A22,others!$G$2:$H$84,2,FALSE)</f>
        <v>Grains</v>
      </c>
      <c r="C22">
        <f>VLOOKUP(B22,others!$A$2:$B$14,2,FALSE)</f>
        <v>5</v>
      </c>
      <c r="D22">
        <f t="shared" si="0"/>
        <v>21</v>
      </c>
    </row>
    <row r="23" spans="1:4" x14ac:dyDescent="0.3">
      <c r="A23" t="str">
        <v>unsalted butter</v>
      </c>
      <c r="B23" t="str">
        <f>VLOOKUP(A23,others!$G$2:$H$84,2,FALSE)</f>
        <v>Dairy</v>
      </c>
      <c r="C23">
        <f>VLOOKUP(B23,others!$A$2:$B$14,2,FALSE)</f>
        <v>6</v>
      </c>
      <c r="D23">
        <f t="shared" si="0"/>
        <v>22</v>
      </c>
    </row>
    <row r="24" spans="1:4" x14ac:dyDescent="0.3">
      <c r="A24" t="str">
        <v>boiling water</v>
      </c>
      <c r="B24" t="str">
        <f>VLOOKUP(A24,others!$G$2:$H$84,2,FALSE)</f>
        <v>Others</v>
      </c>
      <c r="C24">
        <f>VLOOKUP(B24,others!$A$2:$B$14,2,FALSE)</f>
        <v>13</v>
      </c>
      <c r="D24">
        <f t="shared" si="0"/>
        <v>23</v>
      </c>
    </row>
    <row r="25" spans="1:4" x14ac:dyDescent="0.3">
      <c r="A25" t="str">
        <v>mint</v>
      </c>
      <c r="B25" t="str">
        <f>VLOOKUP(A25,others!$G$2:$H$84,2,FALSE)</f>
        <v>Herbs</v>
      </c>
      <c r="C25">
        <f>VLOOKUP(B25,others!$A$2:$B$14,2,FALSE)</f>
        <v>7</v>
      </c>
      <c r="D25">
        <f t="shared" si="0"/>
        <v>24</v>
      </c>
    </row>
    <row r="26" spans="1:4" x14ac:dyDescent="0.3">
      <c r="A26" t="str">
        <v>feta</v>
      </c>
      <c r="B26" t="str">
        <f>VLOOKUP(A26,others!$G$2:$H$84,2,FALSE)</f>
        <v>Dairy</v>
      </c>
      <c r="C26">
        <f>VLOOKUP(B26,others!$A$2:$B$14,2,FALSE)</f>
        <v>6</v>
      </c>
      <c r="D26">
        <f t="shared" si="0"/>
        <v>25</v>
      </c>
    </row>
    <row r="27" spans="1:4" x14ac:dyDescent="0.3">
      <c r="A27" t="str">
        <v>pitted green olives</v>
      </c>
      <c r="B27" t="str">
        <f>VLOOKUP(A27,others!$G$2:$H$84,2,FALSE)</f>
        <v>Others</v>
      </c>
      <c r="C27">
        <f>VLOOKUP(B27,others!$A$2:$B$14,2,FALSE)</f>
        <v>13</v>
      </c>
      <c r="D27">
        <f t="shared" si="0"/>
        <v>26</v>
      </c>
    </row>
    <row r="28" spans="1:4" x14ac:dyDescent="0.3">
      <c r="A28" t="str">
        <v>pomegranate seeds</v>
      </c>
      <c r="B28" t="str">
        <f>VLOOKUP(A28,others!$G$2:$H$84,2,FALSE)</f>
        <v>Fruits</v>
      </c>
      <c r="C28">
        <f>VLOOKUP(B28,others!$A$2:$B$14,2,FALSE)</f>
        <v>4</v>
      </c>
      <c r="D28">
        <f t="shared" si="0"/>
        <v>27</v>
      </c>
    </row>
    <row r="29" spans="1:4" x14ac:dyDescent="0.3">
      <c r="A29" t="str">
        <v>walnut</v>
      </c>
      <c r="B29" t="str">
        <f>VLOOKUP(A29,others!$G$2:$H$84,2,FALSE)</f>
        <v>Nuts &amp; Seeds</v>
      </c>
      <c r="C29">
        <f>VLOOKUP(B29,others!$A$2:$B$14,2,FALSE)</f>
        <v>11</v>
      </c>
      <c r="D29">
        <f t="shared" si="0"/>
        <v>28</v>
      </c>
    </row>
    <row r="30" spans="1:4" x14ac:dyDescent="0.3">
      <c r="A30" t="str">
        <v>pomegranate molasses</v>
      </c>
      <c r="B30" t="str">
        <f>VLOOKUP(A30,others!$G$2:$H$84,2,FALSE)</f>
        <v>Condiments</v>
      </c>
      <c r="C30">
        <f>VLOOKUP(B30,others!$A$2:$B$14,2,FALSE)</f>
        <v>10</v>
      </c>
      <c r="D30">
        <f t="shared" si="0"/>
        <v>29</v>
      </c>
    </row>
    <row r="31" spans="1:4" x14ac:dyDescent="0.3">
      <c r="A31" t="str">
        <v>cherry tomato</v>
      </c>
      <c r="B31" t="str">
        <f>VLOOKUP(A31,others!$G$2:$H$84,2,FALSE)</f>
        <v>Vegetables</v>
      </c>
      <c r="C31">
        <f>VLOOKUP(B31,others!$A$2:$B$14,2,FALSE)</f>
        <v>3</v>
      </c>
      <c r="D31">
        <f t="shared" si="0"/>
        <v>30</v>
      </c>
    </row>
    <row r="32" spans="1:4" x14ac:dyDescent="0.3">
      <c r="A32" t="str">
        <v>shallots</v>
      </c>
      <c r="B32" t="str">
        <f>VLOOKUP(A32,others!$G$2:$H$84,2,FALSE)</f>
        <v>Vegetables</v>
      </c>
      <c r="C32">
        <f>VLOOKUP(B32,others!$A$2:$B$14,2,FALSE)</f>
        <v>3</v>
      </c>
      <c r="D32">
        <f t="shared" si="0"/>
        <v>31</v>
      </c>
    </row>
    <row r="33" spans="1:4" x14ac:dyDescent="0.3">
      <c r="A33" t="str">
        <v>thyme</v>
      </c>
      <c r="B33" t="str">
        <f>VLOOKUP(A33,others!$G$2:$H$84,2,FALSE)</f>
        <v>Herbs</v>
      </c>
      <c r="C33">
        <f>VLOOKUP(B33,others!$A$2:$B$14,2,FALSE)</f>
        <v>7</v>
      </c>
      <c r="D33">
        <f t="shared" si="0"/>
        <v>32</v>
      </c>
    </row>
    <row r="34" spans="1:4" x14ac:dyDescent="0.3">
      <c r="A34" t="str">
        <v>cinnamon stick</v>
      </c>
      <c r="B34" t="str">
        <f>VLOOKUP(A34,others!$G$2:$H$84,2,FALSE)</f>
        <v>Spices</v>
      </c>
      <c r="C34">
        <f>VLOOKUP(B34,others!$A$2:$B$14,2,FALSE)</f>
        <v>8</v>
      </c>
      <c r="D34">
        <f t="shared" si="0"/>
        <v>33</v>
      </c>
    </row>
    <row r="35" spans="1:4" x14ac:dyDescent="0.3">
      <c r="A35" t="str">
        <v>potato</v>
      </c>
      <c r="B35" t="str">
        <f>VLOOKUP(A35,others!$G$2:$H$84,2,FALSE)</f>
        <v>Vegetables</v>
      </c>
      <c r="C35">
        <f>VLOOKUP(B35,others!$A$2:$B$14,2,FALSE)</f>
        <v>3</v>
      </c>
      <c r="D35">
        <f t="shared" si="0"/>
        <v>34</v>
      </c>
    </row>
    <row r="36" spans="1:4" x14ac:dyDescent="0.3">
      <c r="A36" t="str">
        <v>flaked salt</v>
      </c>
      <c r="B36" t="str">
        <f>VLOOKUP(A36,others!$G$2:$H$84,2,FALSE)</f>
        <v>Seasoning</v>
      </c>
      <c r="C36">
        <f>VLOOKUP(B36,others!$A$2:$B$14,2,FALSE)</f>
        <v>12</v>
      </c>
      <c r="D36">
        <f t="shared" si="0"/>
        <v>35</v>
      </c>
    </row>
    <row r="37" spans="1:4" x14ac:dyDescent="0.3">
      <c r="A37" t="str">
        <v>tinned tuna</v>
      </c>
      <c r="B37" t="str">
        <f>VLOOKUP(A37,others!$G$2:$H$84,2,FALSE)</f>
        <v>Seafood</v>
      </c>
      <c r="C37">
        <f>VLOOKUP(B37,others!$A$2:$B$14,2,FALSE)</f>
        <v>2</v>
      </c>
      <c r="D37">
        <f t="shared" si="0"/>
        <v>36</v>
      </c>
    </row>
    <row r="38" spans="1:4" x14ac:dyDescent="0.3">
      <c r="A38" t="str">
        <v>chives</v>
      </c>
      <c r="B38" t="str">
        <f>VLOOKUP(A38,others!$G$2:$H$84,2,FALSE)</f>
        <v>Herbs</v>
      </c>
      <c r="C38">
        <f>VLOOKUP(B38,others!$A$2:$B$14,2,FALSE)</f>
        <v>7</v>
      </c>
      <c r="D38">
        <f t="shared" si="0"/>
        <v>37</v>
      </c>
    </row>
    <row r="39" spans="1:4" x14ac:dyDescent="0.3">
      <c r="A39" t="str">
        <v>basil</v>
      </c>
      <c r="B39" t="str">
        <f>VLOOKUP(A39,others!$G$2:$H$84,2,FALSE)</f>
        <v>Herbs</v>
      </c>
      <c r="C39">
        <f>VLOOKUP(B39,others!$A$2:$B$14,2,FALSE)</f>
        <v>7</v>
      </c>
      <c r="D39">
        <f t="shared" si="0"/>
        <v>38</v>
      </c>
    </row>
    <row r="40" spans="1:4" x14ac:dyDescent="0.3">
      <c r="A40" t="str">
        <v>double cream</v>
      </c>
      <c r="B40" t="str">
        <f>VLOOKUP(A40,others!$G$2:$H$84,2,FALSE)</f>
        <v>Dairy</v>
      </c>
      <c r="C40">
        <f>VLOOKUP(B40,others!$A$2:$B$14,2,FALSE)</f>
        <v>6</v>
      </c>
      <c r="D40">
        <f t="shared" si="0"/>
        <v>39</v>
      </c>
    </row>
    <row r="41" spans="1:4" x14ac:dyDescent="0.3">
      <c r="A41" t="str">
        <v>Parmesan</v>
      </c>
      <c r="B41" t="str">
        <f>VLOOKUP(A41,others!$G$2:$H$84,2,FALSE)</f>
        <v>Dairy</v>
      </c>
      <c r="C41">
        <f>VLOOKUP(B41,others!$A$2:$B$14,2,FALSE)</f>
        <v>6</v>
      </c>
      <c r="D41">
        <f t="shared" si="0"/>
        <v>40</v>
      </c>
    </row>
    <row r="42" spans="1:4" x14ac:dyDescent="0.3">
      <c r="A42" t="str">
        <v>tomato</v>
      </c>
      <c r="B42" t="str">
        <f>VLOOKUP(A42,others!$G$2:$H$84,2,FALSE)</f>
        <v>Vegetables</v>
      </c>
      <c r="C42">
        <f>VLOOKUP(B42,others!$A$2:$B$14,2,FALSE)</f>
        <v>3</v>
      </c>
      <c r="D42">
        <f t="shared" si="0"/>
        <v>41</v>
      </c>
    </row>
    <row r="43" spans="1:4" x14ac:dyDescent="0.3">
      <c r="A43" t="str">
        <v>orange</v>
      </c>
      <c r="B43" t="str">
        <f>VLOOKUP(A43,others!$G$2:$H$84,2,FALSE)</f>
        <v>Fruits</v>
      </c>
      <c r="C43">
        <f>VLOOKUP(B43,others!$A$2:$B$14,2,FALSE)</f>
        <v>4</v>
      </c>
      <c r="D43">
        <f t="shared" si="0"/>
        <v>42</v>
      </c>
    </row>
    <row r="44" spans="1:4" x14ac:dyDescent="0.3">
      <c r="A44" t="str">
        <v>filo</v>
      </c>
      <c r="B44" t="str">
        <f>VLOOKUP(A44,others!$G$2:$H$84,2,FALSE)</f>
        <v>Grains</v>
      </c>
      <c r="C44">
        <f>VLOOKUP(B44,others!$A$2:$B$14,2,FALSE)</f>
        <v>5</v>
      </c>
      <c r="D44">
        <f t="shared" si="0"/>
        <v>43</v>
      </c>
    </row>
    <row r="45" spans="1:4" x14ac:dyDescent="0.3">
      <c r="A45" t="str">
        <v>caster sugar</v>
      </c>
      <c r="B45" t="str">
        <f>VLOOKUP(A45,others!$G$2:$H$84,2,FALSE)</f>
        <v>Condiments</v>
      </c>
      <c r="C45">
        <f>VLOOKUP(B45,others!$A$2:$B$14,2,FALSE)</f>
        <v>10</v>
      </c>
      <c r="D45">
        <f t="shared" si="0"/>
        <v>44</v>
      </c>
    </row>
    <row r="46" spans="1:4" x14ac:dyDescent="0.3">
      <c r="A46" t="str">
        <v>Greek yoghurt</v>
      </c>
      <c r="B46" t="str">
        <f>VLOOKUP(A46,others!$G$2:$H$84,2,FALSE)</f>
        <v>Dairy</v>
      </c>
      <c r="C46">
        <f>VLOOKUP(B46,others!$A$2:$B$14,2,FALSE)</f>
        <v>6</v>
      </c>
      <c r="D46">
        <f t="shared" si="0"/>
        <v>45</v>
      </c>
    </row>
    <row r="47" spans="1:4" x14ac:dyDescent="0.3">
      <c r="A47" t="str">
        <v>egg</v>
      </c>
      <c r="B47" t="str">
        <f>VLOOKUP(A47,others!$G$2:$H$84,2,FALSE)</f>
        <v>Dairy</v>
      </c>
      <c r="C47">
        <f>VLOOKUP(B47,others!$A$2:$B$14,2,FALSE)</f>
        <v>6</v>
      </c>
      <c r="D47">
        <f t="shared" si="0"/>
        <v>46</v>
      </c>
    </row>
    <row r="48" spans="1:4" x14ac:dyDescent="0.3">
      <c r="A48" t="str">
        <v>baking powder</v>
      </c>
      <c r="B48" t="str">
        <f>VLOOKUP(A48,others!$G$2:$H$84,2,FALSE)</f>
        <v>Condiments</v>
      </c>
      <c r="C48">
        <f>VLOOKUP(B48,others!$A$2:$B$14,2,FALSE)</f>
        <v>10</v>
      </c>
      <c r="D48">
        <f t="shared" si="0"/>
        <v>47</v>
      </c>
    </row>
    <row r="49" spans="1:4" x14ac:dyDescent="0.3">
      <c r="A49" t="str">
        <v>vanilla extract</v>
      </c>
      <c r="B49" t="str">
        <f>VLOOKUP(A49,others!$G$2:$H$84,2,FALSE)</f>
        <v>Condiments</v>
      </c>
      <c r="C49">
        <f>VLOOKUP(B49,others!$A$2:$B$14,2,FALSE)</f>
        <v>10</v>
      </c>
      <c r="D49">
        <f t="shared" si="0"/>
        <v>48</v>
      </c>
    </row>
    <row r="50" spans="1:4" x14ac:dyDescent="0.3">
      <c r="A50" t="str">
        <v>wholemeal spelt flour</v>
      </c>
      <c r="B50" t="str">
        <f>VLOOKUP(A50,others!$G$2:$H$84,2,FALSE)</f>
        <v>Grains</v>
      </c>
      <c r="C50">
        <f>VLOOKUP(B50,others!$A$2:$B$14,2,FALSE)</f>
        <v>5</v>
      </c>
      <c r="D50">
        <f t="shared" si="0"/>
        <v>49</v>
      </c>
    </row>
    <row r="51" spans="1:4" x14ac:dyDescent="0.3">
      <c r="A51" t="str">
        <v>wholemeal plain flour</v>
      </c>
      <c r="B51" t="str">
        <f>VLOOKUP(A51,others!$G$2:$H$84,2,FALSE)</f>
        <v>Grains</v>
      </c>
      <c r="C51">
        <f>VLOOKUP(B51,others!$A$2:$B$14,2,FALSE)</f>
        <v>5</v>
      </c>
      <c r="D51">
        <f t="shared" si="0"/>
        <v>50</v>
      </c>
    </row>
    <row r="52" spans="1:4" x14ac:dyDescent="0.3">
      <c r="A52" t="str">
        <v>ground cinnamon</v>
      </c>
      <c r="B52" t="str">
        <f>VLOOKUP(A52,others!$G$2:$H$84,2,FALSE)</f>
        <v>Spices</v>
      </c>
      <c r="C52">
        <f>VLOOKUP(B52,others!$A$2:$B$14,2,FALSE)</f>
        <v>8</v>
      </c>
      <c r="D52">
        <f t="shared" si="0"/>
        <v>51</v>
      </c>
    </row>
    <row r="53" spans="1:4" x14ac:dyDescent="0.3">
      <c r="A53" t="str">
        <v>maple syrup</v>
      </c>
      <c r="B53" t="str">
        <f>VLOOKUP(A53,others!$G$2:$H$84,2,FALSE)</f>
        <v>Condiments</v>
      </c>
      <c r="C53">
        <f>VLOOKUP(B53,others!$A$2:$B$14,2,FALSE)</f>
        <v>10</v>
      </c>
      <c r="D53">
        <f t="shared" si="0"/>
        <v>52</v>
      </c>
    </row>
    <row r="54" spans="1:4" x14ac:dyDescent="0.3">
      <c r="A54" t="str">
        <v>milk</v>
      </c>
      <c r="B54" t="str">
        <f>VLOOKUP(A54,others!$G$2:$H$84,2,FALSE)</f>
        <v>Dairy</v>
      </c>
      <c r="C54">
        <f>VLOOKUP(B54,others!$A$2:$B$14,2,FALSE)</f>
        <v>6</v>
      </c>
      <c r="D54">
        <f t="shared" si="0"/>
        <v>53</v>
      </c>
    </row>
    <row r="55" spans="1:4" x14ac:dyDescent="0.3">
      <c r="A55" t="str">
        <v>frozen blueberry</v>
      </c>
      <c r="B55" t="str">
        <f>VLOOKUP(A55,others!$G$2:$H$84,2,FALSE)</f>
        <v>Fruits</v>
      </c>
      <c r="C55">
        <f>VLOOKUP(B55,others!$A$2:$B$14,2,FALSE)</f>
        <v>4</v>
      </c>
      <c r="D55">
        <f t="shared" si="0"/>
        <v>54</v>
      </c>
    </row>
    <row r="56" spans="1:4" x14ac:dyDescent="0.3">
      <c r="A56" t="str">
        <v>ginger</v>
      </c>
      <c r="B56" t="str">
        <f>VLOOKUP(A56,others!$G$2:$H$84,2,FALSE)</f>
        <v>Vegetables</v>
      </c>
      <c r="C56">
        <f>VLOOKUP(B56,others!$A$2:$B$14,2,FALSE)</f>
        <v>3</v>
      </c>
      <c r="D56">
        <f t="shared" si="0"/>
        <v>55</v>
      </c>
    </row>
    <row r="57" spans="1:4" x14ac:dyDescent="0.3">
      <c r="A57" t="str">
        <v>green chilli</v>
      </c>
      <c r="B57" t="str">
        <f>VLOOKUP(A57,others!$G$2:$H$84,2,FALSE)</f>
        <v>Vegetables</v>
      </c>
      <c r="C57">
        <f>VLOOKUP(B57,others!$A$2:$B$14,2,FALSE)</f>
        <v>3</v>
      </c>
      <c r="D57">
        <f t="shared" si="0"/>
        <v>56</v>
      </c>
    </row>
    <row r="58" spans="1:4" x14ac:dyDescent="0.3">
      <c r="A58" t="str">
        <v>aubergine</v>
      </c>
      <c r="B58" t="str">
        <f>VLOOKUP(A58,others!$G$2:$H$84,2,FALSE)</f>
        <v>Vegetables</v>
      </c>
      <c r="C58">
        <f>VLOOKUP(B58,others!$A$2:$B$14,2,FALSE)</f>
        <v>3</v>
      </c>
      <c r="D58">
        <f t="shared" si="0"/>
        <v>57</v>
      </c>
    </row>
    <row r="59" spans="1:4" x14ac:dyDescent="0.3">
      <c r="A59" t="str">
        <v>spring onion</v>
      </c>
      <c r="B59" t="str">
        <f>VLOOKUP(A59,others!$G$2:$H$84,2,FALSE)</f>
        <v>Vegetables</v>
      </c>
      <c r="C59">
        <f>VLOOKUP(B59,others!$A$2:$B$14,2,FALSE)</f>
        <v>3</v>
      </c>
      <c r="D59">
        <f t="shared" si="0"/>
        <v>58</v>
      </c>
    </row>
    <row r="60" spans="1:4" x14ac:dyDescent="0.3">
      <c r="A60" t="str">
        <v>lime</v>
      </c>
      <c r="B60" t="str">
        <f>VLOOKUP(A60,others!$G$2:$H$84,2,FALSE)</f>
        <v>Fruits</v>
      </c>
      <c r="C60">
        <f>VLOOKUP(B60,others!$A$2:$B$14,2,FALSE)</f>
        <v>4</v>
      </c>
      <c r="D60">
        <f t="shared" si="0"/>
        <v>59</v>
      </c>
    </row>
    <row r="61" spans="1:4" x14ac:dyDescent="0.3">
      <c r="A61" t="str">
        <v>tamarind paste</v>
      </c>
      <c r="B61" t="str">
        <f>VLOOKUP(A61,others!$G$2:$H$84,2,FALSE)</f>
        <v>Condiments</v>
      </c>
      <c r="C61">
        <f>VLOOKUP(B61,others!$A$2:$B$14,2,FALSE)</f>
        <v>10</v>
      </c>
      <c r="D61">
        <f t="shared" si="0"/>
        <v>60</v>
      </c>
    </row>
    <row r="62" spans="1:4" x14ac:dyDescent="0.3">
      <c r="A62" t="str">
        <v>miso</v>
      </c>
      <c r="B62" t="str">
        <f>VLOOKUP(A62,others!$G$2:$H$84,2,FALSE)</f>
        <v>Condiments</v>
      </c>
      <c r="C62">
        <f>VLOOKUP(B62,others!$A$2:$B$14,2,FALSE)</f>
        <v>10</v>
      </c>
      <c r="D62">
        <f t="shared" si="0"/>
        <v>61</v>
      </c>
    </row>
    <row r="63" spans="1:4" x14ac:dyDescent="0.3">
      <c r="A63" t="str">
        <v>Dijon mustard</v>
      </c>
      <c r="B63" t="str">
        <f>VLOOKUP(A63,others!$G$2:$H$84,2,FALSE)</f>
        <v>Condiments</v>
      </c>
      <c r="C63">
        <f>VLOOKUP(B63,others!$A$2:$B$14,2,FALSE)</f>
        <v>10</v>
      </c>
      <c r="D63">
        <f t="shared" si="0"/>
        <v>62</v>
      </c>
    </row>
    <row r="64" spans="1:4" x14ac:dyDescent="0.3">
      <c r="A64" t="str">
        <v>pork joint</v>
      </c>
      <c r="B64" t="str">
        <f>VLOOKUP(A64,others!$G$2:$H$84,2,FALSE)</f>
        <v>Meat</v>
      </c>
      <c r="C64">
        <f>VLOOKUP(B64,others!$A$2:$B$14,2,FALSE)</f>
        <v>1</v>
      </c>
      <c r="D64">
        <f t="shared" si="0"/>
        <v>63</v>
      </c>
    </row>
    <row r="65" spans="1:4" x14ac:dyDescent="0.3">
      <c r="A65" t="str">
        <v>chicken stock</v>
      </c>
      <c r="B65" t="str">
        <f>VLOOKUP(A65,others!$G$2:$H$84,2,FALSE)</f>
        <v>Condiments</v>
      </c>
      <c r="C65">
        <f>VLOOKUP(B65,others!$A$2:$B$14,2,FALSE)</f>
        <v>10</v>
      </c>
      <c r="D65">
        <f t="shared" si="0"/>
        <v>64</v>
      </c>
    </row>
    <row r="66" spans="1:4" x14ac:dyDescent="0.3">
      <c r="A66" t="str">
        <v>balsamic vinegar</v>
      </c>
      <c r="B66" t="str">
        <f>VLOOKUP(A66,others!$G$2:$H$84,2,FALSE)</f>
        <v>Condiments</v>
      </c>
      <c r="C66">
        <f>VLOOKUP(B66,others!$A$2:$B$14,2,FALSE)</f>
        <v>10</v>
      </c>
      <c r="D66">
        <f t="shared" si="0"/>
        <v>65</v>
      </c>
    </row>
    <row r="67" spans="1:4" x14ac:dyDescent="0.3">
      <c r="A67" t="str">
        <v>tinned butter beans</v>
      </c>
      <c r="B67" t="str">
        <f>VLOOKUP(A67,others!$G$2:$H$84,2,FALSE)</f>
        <v>Condiments</v>
      </c>
      <c r="C67">
        <f>VLOOKUP(B67,others!$A$2:$B$14,2,FALSE)</f>
        <v>10</v>
      </c>
      <c r="D67">
        <f t="shared" si="0"/>
        <v>66</v>
      </c>
    </row>
    <row r="68" spans="1:4" x14ac:dyDescent="0.3">
      <c r="A68" t="str">
        <v>butter</v>
      </c>
      <c r="B68" t="str">
        <f>VLOOKUP(A68,others!$G$2:$H$84,2,FALSE)</f>
        <v>Dairy</v>
      </c>
      <c r="C68">
        <f>VLOOKUP(B68,others!$A$2:$B$14,2,FALSE)</f>
        <v>6</v>
      </c>
      <c r="D68">
        <f t="shared" ref="D68:D77" si="1">D67+1</f>
        <v>67</v>
      </c>
    </row>
    <row r="69" spans="1:4" x14ac:dyDescent="0.3">
      <c r="A69" t="str">
        <v>parsley</v>
      </c>
      <c r="B69" t="str">
        <f>VLOOKUP(A69,others!$G$2:$H$84,2,FALSE)</f>
        <v>Herbs</v>
      </c>
      <c r="C69">
        <f>VLOOKUP(B69,others!$A$2:$B$14,2,FALSE)</f>
        <v>7</v>
      </c>
      <c r="D69">
        <f t="shared" si="1"/>
        <v>68</v>
      </c>
    </row>
    <row r="70" spans="1:4" x14ac:dyDescent="0.3">
      <c r="A70" t="str">
        <v>oregano</v>
      </c>
      <c r="B70" t="str">
        <f>VLOOKUP(A70,others!$G$2:$H$84,2,FALSE)</f>
        <v>Herbs</v>
      </c>
      <c r="C70">
        <f>VLOOKUP(B70,others!$A$2:$B$14,2,FALSE)</f>
        <v>7</v>
      </c>
      <c r="D70">
        <f t="shared" si="1"/>
        <v>69</v>
      </c>
    </row>
    <row r="71" spans="1:4" x14ac:dyDescent="0.3">
      <c r="A71" t="str">
        <v>dill</v>
      </c>
      <c r="B71" t="str">
        <f>VLOOKUP(A71,others!$G$2:$H$84,2,FALSE)</f>
        <v>Herbs</v>
      </c>
      <c r="C71">
        <f>VLOOKUP(B71,others!$A$2:$B$14,2,FALSE)</f>
        <v>7</v>
      </c>
      <c r="D71">
        <f t="shared" si="1"/>
        <v>70</v>
      </c>
    </row>
    <row r="72" spans="1:4" x14ac:dyDescent="0.3">
      <c r="A72" t="str">
        <v>fennel bulb</v>
      </c>
      <c r="B72" t="str">
        <f>VLOOKUP(A72,others!$G$2:$H$84,2,FALSE)</f>
        <v>Vegetables</v>
      </c>
      <c r="C72">
        <f>VLOOKUP(B72,others!$A$2:$B$14,2,FALSE)</f>
        <v>3</v>
      </c>
      <c r="D72">
        <f t="shared" si="1"/>
        <v>71</v>
      </c>
    </row>
    <row r="73" spans="1:4" x14ac:dyDescent="0.3">
      <c r="A73" t="str">
        <v>fennel seeds</v>
      </c>
      <c r="B73" t="str">
        <f>VLOOKUP(A73,others!$G$2:$H$84,2,FALSE)</f>
        <v>Spices</v>
      </c>
      <c r="C73">
        <f>VLOOKUP(B73,others!$A$2:$B$14,2,FALSE)</f>
        <v>8</v>
      </c>
      <c r="D73">
        <f t="shared" si="1"/>
        <v>72</v>
      </c>
    </row>
    <row r="74" spans="1:4" x14ac:dyDescent="0.3">
      <c r="A74" t="str">
        <v>chilli flake</v>
      </c>
      <c r="B74" t="str">
        <f>VLOOKUP(A74,others!$G$2:$H$84,2,FALSE)</f>
        <v>Spices</v>
      </c>
      <c r="C74">
        <f>VLOOKUP(B74,others!$A$2:$B$14,2,FALSE)</f>
        <v>8</v>
      </c>
      <c r="D74">
        <f t="shared" si="1"/>
        <v>73</v>
      </c>
    </row>
    <row r="75" spans="1:4" x14ac:dyDescent="0.3">
      <c r="A75" t="str">
        <v>salt flake</v>
      </c>
      <c r="B75" t="str">
        <f>VLOOKUP(A75,others!$G$2:$H$84,2,FALSE)</f>
        <v>Seasoning</v>
      </c>
      <c r="C75">
        <f>VLOOKUP(B75,others!$A$2:$B$14,2,FALSE)</f>
        <v>12</v>
      </c>
      <c r="D75">
        <f t="shared" si="1"/>
        <v>74</v>
      </c>
    </row>
    <row r="76" spans="1:4" x14ac:dyDescent="0.3">
      <c r="A76" t="str">
        <v>dried mushroom</v>
      </c>
      <c r="B76" t="str">
        <f>VLOOKUP(A76,others!$G$2:$H$84,2,FALSE)</f>
        <v>Vegetables</v>
      </c>
      <c r="C76">
        <f>VLOOKUP(B76,others!$A$2:$B$14,2,FALSE)</f>
        <v>3</v>
      </c>
      <c r="D76">
        <f t="shared" si="1"/>
        <v>75</v>
      </c>
    </row>
    <row r="77" spans="1:4" x14ac:dyDescent="0.3">
      <c r="A77" t="str">
        <v>mushroom</v>
      </c>
      <c r="B77" t="str">
        <f>VLOOKUP(A77,others!$G$2:$H$84,2,FALSE)</f>
        <v>Vegetables</v>
      </c>
      <c r="C77">
        <f>VLOOKUP(B77,others!$A$2:$B$14,2,FALSE)</f>
        <v>3</v>
      </c>
      <c r="D77">
        <f t="shared" si="1"/>
        <v>76</v>
      </c>
    </row>
    <row r="78" spans="1:4" x14ac:dyDescent="0.3">
      <c r="A78" t="str">
        <v xml:space="preserve">celery </v>
      </c>
      <c r="B78" t="str">
        <f>VLOOKUP(A78,others!$G$2:$H$84,2,FALSE)</f>
        <v>Vegetables</v>
      </c>
      <c r="C78">
        <f>VLOOKUP(B78,others!$A$2:$B$14,2,FALSE)</f>
        <v>3</v>
      </c>
      <c r="D78">
        <f>D77+1</f>
        <v>77</v>
      </c>
    </row>
    <row r="79" spans="1:4" x14ac:dyDescent="0.3">
      <c r="A79" t="str">
        <v>leek</v>
      </c>
      <c r="B79" t="str">
        <f>VLOOKUP(A79,others!$G$2:$H$84,2,FALSE)</f>
        <v>Vegetables</v>
      </c>
      <c r="C79">
        <f>VLOOKUP(B79,others!$A$2:$B$14,2,FALSE)</f>
        <v>3</v>
      </c>
      <c r="D79">
        <f t="shared" ref="D79:D84" si="2">D78+1</f>
        <v>78</v>
      </c>
    </row>
    <row r="80" spans="1:4" x14ac:dyDescent="0.3">
      <c r="A80" t="str">
        <v>bay leaves</v>
      </c>
      <c r="B80" t="str">
        <f>VLOOKUP(A80,others!$G$2:$H$84,2,FALSE)</f>
        <v>Herbs</v>
      </c>
      <c r="C80">
        <f>VLOOKUP(B80,others!$A$2:$B$14,2,FALSE)</f>
        <v>7</v>
      </c>
      <c r="D80">
        <f t="shared" si="2"/>
        <v>79</v>
      </c>
    </row>
    <row r="81" spans="1:4" x14ac:dyDescent="0.3">
      <c r="A81" t="str">
        <v>vegetable stock</v>
      </c>
      <c r="B81" t="str">
        <f>VLOOKUP(A81,others!$G$2:$H$84,2,FALSE)</f>
        <v>Condiments</v>
      </c>
      <c r="C81">
        <f>VLOOKUP(B81,others!$A$2:$B$14,2,FALSE)</f>
        <v>10</v>
      </c>
      <c r="D81">
        <f t="shared" si="2"/>
        <v>80</v>
      </c>
    </row>
    <row r="82" spans="1:4" x14ac:dyDescent="0.3">
      <c r="A82" t="str">
        <v>small mushroom</v>
      </c>
      <c r="B82" t="str">
        <f>VLOOKUP(A82,others!$G$2:$H$84,2,FALSE)</f>
        <v>Vegetables</v>
      </c>
      <c r="C82">
        <f>VLOOKUP(B82,others!$A$2:$B$14,2,FALSE)</f>
        <v>3</v>
      </c>
      <c r="D82">
        <f t="shared" si="2"/>
        <v>81</v>
      </c>
    </row>
    <row r="83" spans="1:4" x14ac:dyDescent="0.3">
      <c r="A83" t="str">
        <v>single cream</v>
      </c>
      <c r="B83" t="str">
        <f>VLOOKUP(A83,others!$G$2:$H$84,2,FALSE)</f>
        <v>Dairy</v>
      </c>
      <c r="C83">
        <f>VLOOKUP(B83,others!$A$2:$B$14,2,FALSE)</f>
        <v>6</v>
      </c>
      <c r="D83">
        <f t="shared" si="2"/>
        <v>82</v>
      </c>
    </row>
    <row r="84" spans="1:4" x14ac:dyDescent="0.3">
      <c r="A84" t="str">
        <v>dry sherry</v>
      </c>
      <c r="B84" t="str">
        <f>VLOOKUP(A84,others!$G$2:$H$84,2,FALSE)</f>
        <v>Others</v>
      </c>
      <c r="C84">
        <f>VLOOKUP(B84,others!$A$2:$B$14,2,FALSE)</f>
        <v>13</v>
      </c>
      <c r="D84">
        <f t="shared" si="2"/>
        <v>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1B087-F16C-48E5-B1EF-899CE7EFA91D}">
  <dimension ref="A1:G12"/>
  <sheetViews>
    <sheetView workbookViewId="0">
      <selection activeCell="A15" sqref="A15"/>
    </sheetView>
  </sheetViews>
  <sheetFormatPr defaultRowHeight="14.4" x14ac:dyDescent="0.3"/>
  <cols>
    <col min="1" max="1" width="27" bestFit="1" customWidth="1"/>
    <col min="2" max="2" width="9" bestFit="1" customWidth="1"/>
    <col min="3" max="3" width="11.21875" bestFit="1" customWidth="1"/>
    <col min="4" max="4" width="11.5546875" bestFit="1" customWidth="1"/>
    <col min="5" max="5" width="11" bestFit="1" customWidth="1"/>
  </cols>
  <sheetData>
    <row r="1" spans="1:7" x14ac:dyDescent="0.3">
      <c r="A1" t="s">
        <v>162</v>
      </c>
      <c r="B1" t="s">
        <v>4</v>
      </c>
      <c r="C1" s="9" t="s">
        <v>10</v>
      </c>
      <c r="D1" t="s">
        <v>163</v>
      </c>
      <c r="E1" t="s">
        <v>154</v>
      </c>
      <c r="F1" t="s">
        <v>149</v>
      </c>
      <c r="G1" t="s">
        <v>164</v>
      </c>
    </row>
    <row r="2" spans="1:7" x14ac:dyDescent="0.3">
      <c r="A2" t="s">
        <v>7</v>
      </c>
      <c r="B2" s="4">
        <f>VLOOKUP($A2,Main!$A$4:$F$118,5,FALSE)</f>
        <v>1.7361111111111112E-2</v>
      </c>
      <c r="C2" s="4">
        <f>VLOOKUP($A2,Main!$A$4:$F$118,6,FALSE)</f>
        <v>5.9027777777777776E-2</v>
      </c>
      <c r="D2" s="11">
        <v>45942</v>
      </c>
      <c r="E2" t="str">
        <f>VLOOKUP(A2,Main!$A$4:$H$118,8,FALSE)</f>
        <v>Ottolenghi Test Kitchen</v>
      </c>
      <c r="F2">
        <f>VLOOKUP(E2,cookbook_ws!$A$2:$E$10,5,FALSE)</f>
        <v>1</v>
      </c>
      <c r="G2">
        <v>1</v>
      </c>
    </row>
    <row r="3" spans="1:7" x14ac:dyDescent="0.3">
      <c r="A3" t="s">
        <v>150</v>
      </c>
      <c r="B3" s="4">
        <f>VLOOKUP($A3,Main!$A$4:$F$118,5,FALSE)</f>
        <v>3.472222222222222E-3</v>
      </c>
      <c r="C3" s="4">
        <f>VLOOKUP($A3,Main!$A$4:$F$118,6,FALSE)</f>
        <v>1.3888888888888888E-2</v>
      </c>
      <c r="D3" s="11">
        <v>45988</v>
      </c>
      <c r="E3" t="str">
        <f>VLOOKUP(A3,Main!$A$4:$H$118,8,FALSE)</f>
        <v>Ottolenghi Test Kitchen</v>
      </c>
      <c r="F3">
        <f>VLOOKUP(E3,cookbook_ws!$A$2:$E$10,5,FALSE)</f>
        <v>1</v>
      </c>
      <c r="G3">
        <v>2</v>
      </c>
    </row>
    <row r="4" spans="1:7" x14ac:dyDescent="0.3">
      <c r="A4" t="s">
        <v>36</v>
      </c>
      <c r="B4" s="4">
        <f>VLOOKUP($A4,Main!$A$4:$F$118,5,FALSE)</f>
        <v>3.472222222222222E-3</v>
      </c>
      <c r="C4" s="4">
        <f>VLOOKUP($A4,Main!$A$4:$F$118,6,FALSE)</f>
        <v>1.7361111111111112E-2</v>
      </c>
      <c r="D4" s="11">
        <v>45988</v>
      </c>
      <c r="E4" t="str">
        <f>VLOOKUP(A4,Main!$A$4:$H$118,8,FALSE)</f>
        <v>Ottolenghi SIMPLE</v>
      </c>
      <c r="F4">
        <f>VLOOKUP(E4,cookbook_ws!$A$2:$E$10,5,FALSE)</f>
        <v>2</v>
      </c>
      <c r="G4">
        <v>3</v>
      </c>
    </row>
    <row r="5" spans="1:7" x14ac:dyDescent="0.3">
      <c r="A5" t="s">
        <v>171</v>
      </c>
      <c r="B5" s="4">
        <f>VLOOKUP($A5,Main!$A$4:$F$118,5,FALSE)</f>
        <v>1.0416666666666666E-2</v>
      </c>
      <c r="C5" s="4">
        <f>VLOOKUP($A5,Main!$A$4:$F$118,6,FALSE)</f>
        <v>6.9444444444444448E-2</v>
      </c>
      <c r="D5" s="11">
        <v>46107</v>
      </c>
      <c r="E5" t="str">
        <f>VLOOKUP(A5,Main!$A$4:$H$118,8,FALSE)</f>
        <v>Ottolenghi SIMPLE</v>
      </c>
      <c r="F5">
        <f>VLOOKUP(E5,cookbook_ws!$A$2:$E$10,5,FALSE)</f>
        <v>2</v>
      </c>
      <c r="G5">
        <v>4</v>
      </c>
    </row>
    <row r="6" spans="1:7" x14ac:dyDescent="0.3">
      <c r="A6" t="s">
        <v>50</v>
      </c>
      <c r="B6" s="4">
        <f>VLOOKUP($A6,Main!$A$4:$F$118,5,FALSE)</f>
        <v>6.9444444444444441E-3</v>
      </c>
      <c r="C6" s="4">
        <f>VLOOKUP($A6,Main!$A$4:$F$118,6,FALSE)</f>
        <v>3.8194444444444448E-2</v>
      </c>
      <c r="D6" s="11">
        <v>46116</v>
      </c>
      <c r="E6" t="str">
        <f>VLOOKUP(A6,Main!$A$4:$H$118,8,FALSE)</f>
        <v>MEZCLA</v>
      </c>
      <c r="F6">
        <f>VLOOKUP(E6,cookbook_ws!$A$2:$E$10,5,FALSE)</f>
        <v>3</v>
      </c>
      <c r="G6">
        <v>5</v>
      </c>
    </row>
    <row r="7" spans="1:7" x14ac:dyDescent="0.3">
      <c r="A7" t="s">
        <v>68</v>
      </c>
      <c r="B7" s="4">
        <f>VLOOKUP($A7,Main!$A$4:$F$118,5,FALSE)</f>
        <v>6.25E-2</v>
      </c>
      <c r="C7" s="4">
        <f>VLOOKUP($A7,Main!$A$4:$F$118,6,FALSE)</f>
        <v>5.5555555555555552E-2</v>
      </c>
      <c r="D7" s="11">
        <v>46114</v>
      </c>
      <c r="E7" t="str">
        <f>VLOOKUP(A7,Main!$A$4:$H$118,8,FALSE)</f>
        <v>Taverna</v>
      </c>
      <c r="F7">
        <f>VLOOKUP(E7,cookbook_ws!$A$2:$E$10,5,FALSE)</f>
        <v>4</v>
      </c>
      <c r="G7">
        <v>6</v>
      </c>
    </row>
    <row r="8" spans="1:7" x14ac:dyDescent="0.3">
      <c r="A8" t="s">
        <v>87</v>
      </c>
      <c r="B8" s="4">
        <f>VLOOKUP($A8,Main!$A$4:$F$118,5,FALSE)</f>
        <v>6.9444444444444441E-3</v>
      </c>
      <c r="C8" s="4">
        <f>VLOOKUP($A8,Main!$A$4:$F$118,6,FALSE)</f>
        <v>2.0833333333333332E-2</v>
      </c>
      <c r="D8" s="11">
        <v>46127</v>
      </c>
      <c r="E8" t="str">
        <f>VLOOKUP(A8,Main!$A$4:$H$118,8,FALSE)</f>
        <v>Basics To Brilliance Kids</v>
      </c>
      <c r="F8">
        <f>VLOOKUP(E8,cookbook_ws!$A$2:$E$10,5,FALSE)</f>
        <v>5</v>
      </c>
      <c r="G8">
        <v>7</v>
      </c>
    </row>
    <row r="9" spans="1:7" x14ac:dyDescent="0.3">
      <c r="A9" t="s">
        <v>86</v>
      </c>
      <c r="B9" s="4">
        <f>VLOOKUP($A9,Main!$A$4:$F$118,5,FALSE)</f>
        <v>6.9444444444444441E-3</v>
      </c>
      <c r="C9" s="4">
        <f>VLOOKUP($A9,Main!$A$4:$F$118,6,FALSE)</f>
        <v>4.1666666666666664E-2</v>
      </c>
      <c r="D9" s="11">
        <v>46122</v>
      </c>
      <c r="E9" t="str">
        <f>VLOOKUP(A9,Main!$A$4:$H$118,8,FALSE)</f>
        <v>Stirring Slowly</v>
      </c>
      <c r="F9">
        <f>VLOOKUP(E9,cookbook_ws!$A$2:$E$10,5,FALSE)</f>
        <v>6</v>
      </c>
      <c r="G9">
        <v>8</v>
      </c>
    </row>
    <row r="10" spans="1:7" x14ac:dyDescent="0.3">
      <c r="A10" t="s">
        <v>96</v>
      </c>
      <c r="B10" s="4">
        <f>VLOOKUP($A10,Main!$A$4:$F$118,5,FALSE)</f>
        <v>6.9444444444444441E-3</v>
      </c>
      <c r="C10" s="4">
        <f>VLOOKUP($A10,Main!$A$4:$F$118,6,FALSE)</f>
        <v>8.3333333333333329E-2</v>
      </c>
      <c r="D10" s="11">
        <v>46129</v>
      </c>
      <c r="E10" t="str">
        <f>VLOOKUP(A10,Main!$A$4:$H$118,8,FALSE)</f>
        <v>James Every Day</v>
      </c>
      <c r="F10">
        <f>VLOOKUP(E10,cookbook_ws!$A$2:$E$10,5,FALSE)</f>
        <v>7</v>
      </c>
      <c r="G10">
        <v>9</v>
      </c>
    </row>
    <row r="11" spans="1:7" x14ac:dyDescent="0.3">
      <c r="A11" t="s">
        <v>107</v>
      </c>
      <c r="B11" s="4">
        <f>VLOOKUP($A11,Main!$A$4:$F$118,5,FALSE)</f>
        <v>6.9444444444444441E-3</v>
      </c>
      <c r="C11" s="4">
        <f>VLOOKUP($A11,Main!$A$4:$F$118,6,FALSE)</f>
        <v>2.7777777777777776E-2</v>
      </c>
      <c r="D11" s="11">
        <v>46073</v>
      </c>
      <c r="E11" t="str">
        <f>VLOOKUP(A11,Main!$A$4:$H$118,8,FALSE)</f>
        <v>From The Oven To The Table</v>
      </c>
      <c r="F11">
        <f>VLOOKUP(E11,cookbook_ws!$A$2:$E$10,5,FALSE)</f>
        <v>8</v>
      </c>
      <c r="G11">
        <v>10</v>
      </c>
    </row>
    <row r="12" spans="1:7" x14ac:dyDescent="0.3">
      <c r="A12" t="s">
        <v>116</v>
      </c>
      <c r="B12" s="4">
        <f>VLOOKUP($A12,Main!$A$4:$F$118,5,FALSE)</f>
        <v>1.3888888888888888E-2</v>
      </c>
      <c r="C12" s="4">
        <f>VLOOKUP($A12,Main!$A$4:$F$118,6,FALSE)</f>
        <v>7.2916666666666671E-2</v>
      </c>
      <c r="D12" s="11">
        <v>46013</v>
      </c>
      <c r="E12" t="str">
        <f>VLOOKUP(A12,Main!$A$4:$H$118,8,FALSE)</f>
        <v>Delias Happy Christmas</v>
      </c>
      <c r="F12">
        <f>VLOOKUP(E12,cookbook_ws!$A$2:$E$10,5,FALSE)</f>
        <v>9</v>
      </c>
      <c r="G12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1108D-0D89-4648-9DF0-1A64C5777C83}">
  <dimension ref="A1:G132"/>
  <sheetViews>
    <sheetView topLeftCell="A28" workbookViewId="0">
      <selection activeCell="J22" sqref="J22"/>
    </sheetView>
  </sheetViews>
  <sheetFormatPr defaultRowHeight="14.4" x14ac:dyDescent="0.3"/>
  <cols>
    <col min="1" max="1" width="27" bestFit="1" customWidth="1"/>
    <col min="3" max="3" width="14.44140625" bestFit="1" customWidth="1"/>
    <col min="4" max="4" width="11.21875" bestFit="1" customWidth="1"/>
    <col min="5" max="5" width="16.21875" bestFit="1" customWidth="1"/>
    <col min="6" max="6" width="14.77734375" bestFit="1" customWidth="1"/>
    <col min="7" max="7" width="6.21875" bestFit="1" customWidth="1"/>
  </cols>
  <sheetData>
    <row r="1" spans="1:7" x14ac:dyDescent="0.3">
      <c r="A1" t="s">
        <v>162</v>
      </c>
      <c r="B1" t="s">
        <v>164</v>
      </c>
      <c r="C1" t="s">
        <v>161</v>
      </c>
      <c r="D1" t="s">
        <v>165</v>
      </c>
      <c r="E1" t="s">
        <v>166</v>
      </c>
      <c r="F1" t="s">
        <v>160</v>
      </c>
      <c r="G1" t="s">
        <v>143</v>
      </c>
    </row>
    <row r="2" spans="1:7" x14ac:dyDescent="0.3">
      <c r="A2" t="str" cm="1">
        <f t="array" ref="A2:A132">Main!$A$4:$A$134</f>
        <v>Berbere spiced chicken</v>
      </c>
      <c r="B2">
        <f>VLOOKUP(A2,recipes_ws!$A$2:$G$12,7,FALSE)</f>
        <v>1</v>
      </c>
      <c r="C2" t="str" cm="1">
        <f t="array" ref="C2:C132">Main!$B$4:$B$134</f>
        <v>onion</v>
      </c>
      <c r="D2">
        <f>VLOOKUP(C2,ingredients_ws!$A$2:$D$84,4,FALSE)</f>
        <v>1</v>
      </c>
      <c r="E2" cm="1">
        <f t="array" ref="E2:E132">Main!$C$4:$C$134</f>
        <v>1</v>
      </c>
      <c r="F2" t="str" cm="1">
        <f t="array" ref="F2:F132">Main!$D$4:$D$134</f>
        <v>each</v>
      </c>
      <c r="G2">
        <f>VLOOKUP(F2,others!$D$2:$E$12,2,FALSE)</f>
        <v>7</v>
      </c>
    </row>
    <row r="3" spans="1:7" x14ac:dyDescent="0.3">
      <c r="A3" t="str">
        <v>Berbere spiced chicken</v>
      </c>
      <c r="B3">
        <f>VLOOKUP(A3,recipes_ws!$A$2:$G$12,7,FALSE)</f>
        <v>1</v>
      </c>
      <c r="C3" t="str">
        <v>garlic clove</v>
      </c>
      <c r="D3">
        <f>VLOOKUP(C3,ingredients_ws!$A$2:$D$84,4,FALSE)</f>
        <v>2</v>
      </c>
      <c r="E3">
        <v>6</v>
      </c>
      <c r="F3" t="str">
        <v>clove</v>
      </c>
      <c r="G3">
        <f>VLOOKUP(F3,others!$D$2:$E$12,2,FALSE)</f>
        <v>8</v>
      </c>
    </row>
    <row r="4" spans="1:7" x14ac:dyDescent="0.3">
      <c r="A4" t="str">
        <v>Berbere spiced chicken</v>
      </c>
      <c r="B4">
        <f>VLOOKUP(A4,recipes_ws!$A$2:$G$12,7,FALSE)</f>
        <v>1</v>
      </c>
      <c r="C4" t="str">
        <v>coriander</v>
      </c>
      <c r="D4">
        <f>VLOOKUP(C4,ingredients_ws!$A$2:$D$84,4,FALSE)</f>
        <v>3</v>
      </c>
      <c r="E4">
        <v>45</v>
      </c>
      <c r="F4" t="str">
        <v>g</v>
      </c>
      <c r="G4">
        <f>VLOOKUP(F4,others!$D$2:$E$12,2,FALSE)</f>
        <v>1</v>
      </c>
    </row>
    <row r="5" spans="1:7" x14ac:dyDescent="0.3">
      <c r="A5" t="str">
        <v>Berbere spiced chicken</v>
      </c>
      <c r="B5">
        <f>VLOOKUP(A5,recipes_ws!$A$2:$G$12,7,FALSE)</f>
        <v>1</v>
      </c>
      <c r="C5" t="str">
        <v>berbere spice</v>
      </c>
      <c r="D5">
        <f>VLOOKUP(C5,ingredients_ws!$A$2:$D$84,4,FALSE)</f>
        <v>4</v>
      </c>
      <c r="E5">
        <v>2.5</v>
      </c>
      <c r="F5" t="str">
        <v>tbsp</v>
      </c>
      <c r="G5">
        <f>VLOOKUP(F5,others!$D$2:$E$12,2,FALSE)</f>
        <v>6</v>
      </c>
    </row>
    <row r="6" spans="1:7" x14ac:dyDescent="0.3">
      <c r="A6" t="str">
        <v>Berbere spiced chicken</v>
      </c>
      <c r="B6">
        <f>VLOOKUP(A6,recipes_ws!$A$2:$G$12,7,FALSE)</f>
        <v>1</v>
      </c>
      <c r="C6" t="str">
        <v>tomato paste</v>
      </c>
      <c r="D6">
        <f>VLOOKUP(C6,ingredients_ws!$A$2:$D$84,4,FALSE)</f>
        <v>5</v>
      </c>
      <c r="E6">
        <v>2</v>
      </c>
      <c r="F6" t="str">
        <v>tbsp</v>
      </c>
      <c r="G6">
        <f>VLOOKUP(F6,others!$D$2:$E$12,2,FALSE)</f>
        <v>6</v>
      </c>
    </row>
    <row r="7" spans="1:7" x14ac:dyDescent="0.3">
      <c r="A7" t="str">
        <v>Berbere spiced chicken</v>
      </c>
      <c r="B7">
        <f>VLOOKUP(A7,recipes_ws!$A$2:$G$12,7,FALSE)</f>
        <v>1</v>
      </c>
      <c r="C7" t="str">
        <v>honey</v>
      </c>
      <c r="D7">
        <f>VLOOKUP(C7,ingredients_ws!$A$2:$D$84,4,FALSE)</f>
        <v>6</v>
      </c>
      <c r="E7">
        <v>2.5</v>
      </c>
      <c r="F7" t="str">
        <v>tbsp</v>
      </c>
      <c r="G7">
        <f>VLOOKUP(F7,others!$D$2:$E$12,2,FALSE)</f>
        <v>6</v>
      </c>
    </row>
    <row r="8" spans="1:7" x14ac:dyDescent="0.3">
      <c r="A8" t="str">
        <v>Berbere spiced chicken</v>
      </c>
      <c r="B8">
        <f>VLOOKUP(A8,recipes_ws!$A$2:$G$12,7,FALSE)</f>
        <v>1</v>
      </c>
      <c r="C8" t="str">
        <v>apple cider vinegar</v>
      </c>
      <c r="D8">
        <f>VLOOKUP(C8,ingredients_ws!$A$2:$D$84,4,FALSE)</f>
        <v>7</v>
      </c>
      <c r="E8">
        <v>3</v>
      </c>
      <c r="F8" t="str">
        <v>tbsp</v>
      </c>
      <c r="G8">
        <f>VLOOKUP(F8,others!$D$2:$E$12,2,FALSE)</f>
        <v>6</v>
      </c>
    </row>
    <row r="9" spans="1:7" x14ac:dyDescent="0.3">
      <c r="A9" t="str">
        <v>Berbere spiced chicken</v>
      </c>
      <c r="B9">
        <f>VLOOKUP(A9,recipes_ws!$A$2:$G$12,7,FALSE)</f>
        <v>1</v>
      </c>
      <c r="C9" t="str">
        <v>olive oil</v>
      </c>
      <c r="D9">
        <f>VLOOKUP(C9,ingredients_ws!$A$2:$D$84,4,FALSE)</f>
        <v>8</v>
      </c>
      <c r="E9">
        <v>90</v>
      </c>
      <c r="F9" t="str">
        <v>ml</v>
      </c>
      <c r="G9">
        <f>VLOOKUP(F9,others!$D$2:$E$12,2,FALSE)</f>
        <v>3</v>
      </c>
    </row>
    <row r="10" spans="1:7" x14ac:dyDescent="0.3">
      <c r="A10" t="str">
        <v>Berbere spiced chicken</v>
      </c>
      <c r="B10">
        <f>VLOOKUP(A10,recipes_ws!$A$2:$G$12,7,FALSE)</f>
        <v>1</v>
      </c>
      <c r="C10" t="str">
        <v>carrots</v>
      </c>
      <c r="D10">
        <f>VLOOKUP(C10,ingredients_ws!$A$2:$D$84,4,FALSE)</f>
        <v>9</v>
      </c>
      <c r="E10">
        <v>800</v>
      </c>
      <c r="F10" t="str">
        <v>g</v>
      </c>
      <c r="G10">
        <f>VLOOKUP(F10,others!$D$2:$E$12,2,FALSE)</f>
        <v>1</v>
      </c>
    </row>
    <row r="11" spans="1:7" x14ac:dyDescent="0.3">
      <c r="A11" t="str">
        <v>Berbere spiced chicken</v>
      </c>
      <c r="B11">
        <f>VLOOKUP(A11,recipes_ws!$A$2:$G$12,7,FALSE)</f>
        <v>1</v>
      </c>
      <c r="C11" t="str">
        <v>tinned chickpeas</v>
      </c>
      <c r="D11">
        <f>VLOOKUP(C11,ingredients_ws!$A$2:$D$84,4,FALSE)</f>
        <v>10</v>
      </c>
      <c r="E11">
        <v>2</v>
      </c>
      <c r="F11" t="str">
        <v>tin</v>
      </c>
      <c r="G11">
        <f>VLOOKUP(F11,others!$D$2:$E$12,2,FALSE)</f>
        <v>10</v>
      </c>
    </row>
    <row r="12" spans="1:7" x14ac:dyDescent="0.3">
      <c r="A12" t="str">
        <v>Berbere spiced chicken</v>
      </c>
      <c r="B12">
        <f>VLOOKUP(A12,recipes_ws!$A$2:$G$12,7,FALSE)</f>
        <v>1</v>
      </c>
      <c r="C12" t="str">
        <v>chicken thigh</v>
      </c>
      <c r="D12">
        <f>VLOOKUP(C12,ingredients_ws!$A$2:$D$84,4,FALSE)</f>
        <v>11</v>
      </c>
      <c r="E12">
        <v>8</v>
      </c>
      <c r="F12" t="str">
        <v>piece</v>
      </c>
      <c r="G12">
        <f>VLOOKUP(F12,others!$D$2:$E$12,2,FALSE)</f>
        <v>9</v>
      </c>
    </row>
    <row r="13" spans="1:7" x14ac:dyDescent="0.3">
      <c r="A13" t="str">
        <v>Berbere spiced chicken</v>
      </c>
      <c r="B13">
        <f>VLOOKUP(A13,recipes_ws!$A$2:$G$12,7,FALSE)</f>
        <v>1</v>
      </c>
      <c r="C13" t="str">
        <v>oranges</v>
      </c>
      <c r="D13">
        <f>VLOOKUP(C13,ingredients_ws!$A$2:$D$84,4,FALSE)</f>
        <v>12</v>
      </c>
      <c r="E13">
        <v>3</v>
      </c>
      <c r="F13" t="str">
        <v>each</v>
      </c>
      <c r="G13">
        <f>VLOOKUP(F13,others!$D$2:$E$12,2,FALSE)</f>
        <v>7</v>
      </c>
    </row>
    <row r="14" spans="1:7" x14ac:dyDescent="0.3">
      <c r="A14" t="str">
        <v>Berbere spiced chicken</v>
      </c>
      <c r="B14">
        <f>VLOOKUP(A14,recipes_ws!$A$2:$G$12,7,FALSE)</f>
        <v>1</v>
      </c>
      <c r="C14" t="str">
        <v>salt</v>
      </c>
      <c r="D14">
        <f>VLOOKUP(C14,ingredients_ws!$A$2:$D$84,4,FALSE)</f>
        <v>13</v>
      </c>
      <c r="E14">
        <v>0.1</v>
      </c>
      <c r="F14" t="str">
        <v>tsp</v>
      </c>
      <c r="G14">
        <f>VLOOKUP(F14,others!$D$2:$E$12,2,FALSE)</f>
        <v>5</v>
      </c>
    </row>
    <row r="15" spans="1:7" x14ac:dyDescent="0.3">
      <c r="A15" t="str">
        <v>Berbere spiced chicken</v>
      </c>
      <c r="B15">
        <f>VLOOKUP(A15,recipes_ws!$A$2:$G$12,7,FALSE)</f>
        <v>1</v>
      </c>
      <c r="C15" t="str">
        <v>black pepper</v>
      </c>
      <c r="D15">
        <f>VLOOKUP(C15,ingredients_ws!$A$2:$D$84,4,FALSE)</f>
        <v>14</v>
      </c>
      <c r="E15">
        <v>0.1</v>
      </c>
      <c r="F15" t="str">
        <v>tsp</v>
      </c>
      <c r="G15">
        <f>VLOOKUP(F15,others!$D$2:$E$12,2,FALSE)</f>
        <v>5</v>
      </c>
    </row>
    <row r="16" spans="1:7" x14ac:dyDescent="0.3">
      <c r="A16" t="str">
        <v>Zaatar salmon</v>
      </c>
      <c r="B16">
        <f>VLOOKUP(A16,recipes_ws!$A$2:$G$12,7,FALSE)</f>
        <v>2</v>
      </c>
      <c r="C16" t="str">
        <v>salmon fillet</v>
      </c>
      <c r="D16">
        <f>VLOOKUP(C16,ingredients_ws!$A$2:$D$84,4,FALSE)</f>
        <v>15</v>
      </c>
      <c r="E16">
        <v>4</v>
      </c>
      <c r="F16" t="str">
        <v>piece</v>
      </c>
      <c r="G16">
        <f>VLOOKUP(F16,others!$D$2:$E$12,2,FALSE)</f>
        <v>9</v>
      </c>
    </row>
    <row r="17" spans="1:7" x14ac:dyDescent="0.3">
      <c r="A17" t="str">
        <v>Zaatar salmon</v>
      </c>
      <c r="B17">
        <f>VLOOKUP(A17,recipes_ws!$A$2:$G$12,7,FALSE)</f>
        <v>2</v>
      </c>
      <c r="C17" t="str">
        <v>zaatar</v>
      </c>
      <c r="D17">
        <f>VLOOKUP(C17,ingredients_ws!$A$2:$D$84,4,FALSE)</f>
        <v>16</v>
      </c>
      <c r="E17">
        <v>15</v>
      </c>
      <c r="F17" t="str">
        <v>g</v>
      </c>
      <c r="G17">
        <f>VLOOKUP(F17,others!$D$2:$E$12,2,FALSE)</f>
        <v>1</v>
      </c>
    </row>
    <row r="18" spans="1:7" x14ac:dyDescent="0.3">
      <c r="A18" t="str">
        <v>Zaatar salmon</v>
      </c>
      <c r="B18">
        <f>VLOOKUP(A18,recipes_ws!$A$2:$G$12,7,FALSE)</f>
        <v>2</v>
      </c>
      <c r="C18" t="str">
        <v>sumac</v>
      </c>
      <c r="D18">
        <f>VLOOKUP(C18,ingredients_ws!$A$2:$D$84,4,FALSE)</f>
        <v>17</v>
      </c>
      <c r="E18">
        <v>10</v>
      </c>
      <c r="F18" t="str">
        <v>g</v>
      </c>
      <c r="G18">
        <f>VLOOKUP(F18,others!$D$2:$E$12,2,FALSE)</f>
        <v>1</v>
      </c>
    </row>
    <row r="19" spans="1:7" x14ac:dyDescent="0.3">
      <c r="A19" t="str">
        <v>Zaatar salmon</v>
      </c>
      <c r="B19">
        <f>VLOOKUP(A19,recipes_ws!$A$2:$G$12,7,FALSE)</f>
        <v>2</v>
      </c>
      <c r="C19" t="str">
        <v>olive oil</v>
      </c>
      <c r="D19">
        <f>VLOOKUP(C19,ingredients_ws!$A$2:$D$84,4,FALSE)</f>
        <v>8</v>
      </c>
      <c r="E19">
        <v>60</v>
      </c>
      <c r="F19" t="str">
        <v>ml</v>
      </c>
      <c r="G19">
        <f>VLOOKUP(F19,others!$D$2:$E$12,2,FALSE)</f>
        <v>3</v>
      </c>
    </row>
    <row r="20" spans="1:7" x14ac:dyDescent="0.3">
      <c r="A20" t="str">
        <v>Zaatar salmon</v>
      </c>
      <c r="B20">
        <f>VLOOKUP(A20,recipes_ws!$A$2:$G$12,7,FALSE)</f>
        <v>2</v>
      </c>
      <c r="C20" t="str">
        <v>baby spinach</v>
      </c>
      <c r="D20">
        <f>VLOOKUP(C20,ingredients_ws!$A$2:$D$84,4,FALSE)</f>
        <v>18</v>
      </c>
      <c r="E20">
        <v>250</v>
      </c>
      <c r="F20" t="str">
        <v>g</v>
      </c>
      <c r="G20">
        <f>VLOOKUP(F20,others!$D$2:$E$12,2,FALSE)</f>
        <v>1</v>
      </c>
    </row>
    <row r="21" spans="1:7" x14ac:dyDescent="0.3">
      <c r="A21" t="str">
        <v>Zaatar salmon</v>
      </c>
      <c r="B21">
        <f>VLOOKUP(A21,recipes_ws!$A$2:$G$12,7,FALSE)</f>
        <v>2</v>
      </c>
      <c r="C21" t="str">
        <v>tahini</v>
      </c>
      <c r="D21">
        <f>VLOOKUP(C21,ingredients_ws!$A$2:$D$84,4,FALSE)</f>
        <v>19</v>
      </c>
      <c r="E21">
        <v>90</v>
      </c>
      <c r="F21" t="str">
        <v>g</v>
      </c>
      <c r="G21">
        <f>VLOOKUP(F21,others!$D$2:$E$12,2,FALSE)</f>
        <v>1</v>
      </c>
    </row>
    <row r="22" spans="1:7" x14ac:dyDescent="0.3">
      <c r="A22" t="str">
        <v>Zaatar salmon</v>
      </c>
      <c r="B22">
        <f>VLOOKUP(A22,recipes_ws!$A$2:$G$12,7,FALSE)</f>
        <v>2</v>
      </c>
      <c r="C22" t="str">
        <v>garlic clove</v>
      </c>
      <c r="D22">
        <f>VLOOKUP(C22,ingredients_ws!$A$2:$D$84,4,FALSE)</f>
        <v>2</v>
      </c>
      <c r="E22">
        <v>3</v>
      </c>
      <c r="F22" t="str">
        <v>clove</v>
      </c>
      <c r="G22">
        <f>VLOOKUP(F22,others!$D$2:$E$12,2,FALSE)</f>
        <v>8</v>
      </c>
    </row>
    <row r="23" spans="1:7" x14ac:dyDescent="0.3">
      <c r="A23" t="str">
        <v>Zaatar salmon</v>
      </c>
      <c r="B23">
        <f>VLOOKUP(A23,recipes_ws!$A$2:$G$12,7,FALSE)</f>
        <v>2</v>
      </c>
      <c r="C23" t="str">
        <v>lemon juice</v>
      </c>
      <c r="D23">
        <f>VLOOKUP(C23,ingredients_ws!$A$2:$D$84,4,FALSE)</f>
        <v>20</v>
      </c>
      <c r="E23">
        <v>3.5</v>
      </c>
      <c r="F23" t="str">
        <v>tbsp</v>
      </c>
      <c r="G23">
        <f>VLOOKUP(F23,others!$D$2:$E$12,2,FALSE)</f>
        <v>6</v>
      </c>
    </row>
    <row r="24" spans="1:7" x14ac:dyDescent="0.3">
      <c r="A24" t="str">
        <v>Zaatar salmon</v>
      </c>
      <c r="B24">
        <f>VLOOKUP(A24,recipes_ws!$A$2:$G$12,7,FALSE)</f>
        <v>2</v>
      </c>
      <c r="C24" t="str">
        <v>coriander</v>
      </c>
      <c r="D24">
        <f>VLOOKUP(C24,ingredients_ws!$A$2:$D$84,4,FALSE)</f>
        <v>3</v>
      </c>
      <c r="E24">
        <v>10</v>
      </c>
      <c r="F24" t="str">
        <v>g</v>
      </c>
      <c r="G24">
        <f>VLOOKUP(F24,others!$D$2:$E$12,2,FALSE)</f>
        <v>1</v>
      </c>
    </row>
    <row r="25" spans="1:7" x14ac:dyDescent="0.3">
      <c r="A25" t="str">
        <v>Zaatar salmon</v>
      </c>
      <c r="B25">
        <f>VLOOKUP(A25,recipes_ws!$A$2:$G$12,7,FALSE)</f>
        <v>2</v>
      </c>
      <c r="C25" t="str">
        <v>salt</v>
      </c>
      <c r="D25">
        <f>VLOOKUP(C25,ingredients_ws!$A$2:$D$84,4,FALSE)</f>
        <v>13</v>
      </c>
      <c r="E25">
        <v>0.1</v>
      </c>
      <c r="F25" t="str">
        <v>tsp</v>
      </c>
      <c r="G25">
        <f>VLOOKUP(F25,others!$D$2:$E$12,2,FALSE)</f>
        <v>5</v>
      </c>
    </row>
    <row r="26" spans="1:7" x14ac:dyDescent="0.3">
      <c r="A26" t="str">
        <v>Zaatar salmon</v>
      </c>
      <c r="B26">
        <f>VLOOKUP(A26,recipes_ws!$A$2:$G$12,7,FALSE)</f>
        <v>2</v>
      </c>
      <c r="C26" t="str">
        <v>black pepper</v>
      </c>
      <c r="D26">
        <f>VLOOKUP(C26,ingredients_ws!$A$2:$D$84,4,FALSE)</f>
        <v>14</v>
      </c>
      <c r="E26">
        <v>0.1</v>
      </c>
      <c r="F26" t="str">
        <v>tsp</v>
      </c>
      <c r="G26">
        <f>VLOOKUP(F26,others!$D$2:$E$12,2,FALSE)</f>
        <v>5</v>
      </c>
    </row>
    <row r="27" spans="1:7" x14ac:dyDescent="0.3">
      <c r="A27" t="str">
        <v>Baked mint rice</v>
      </c>
      <c r="B27">
        <f>VLOOKUP(A27,recipes_ws!$A$2:$G$12,7,FALSE)</f>
        <v>3</v>
      </c>
      <c r="C27" t="str">
        <v>basmati rice</v>
      </c>
      <c r="D27">
        <f>VLOOKUP(C27,ingredients_ws!$A$2:$D$84,4,FALSE)</f>
        <v>21</v>
      </c>
      <c r="E27">
        <v>400</v>
      </c>
      <c r="F27" t="str">
        <v>g</v>
      </c>
      <c r="G27">
        <f>VLOOKUP(F27,others!$D$2:$E$12,2,FALSE)</f>
        <v>1</v>
      </c>
    </row>
    <row r="28" spans="1:7" x14ac:dyDescent="0.3">
      <c r="A28" t="str">
        <v>Baked mint rice</v>
      </c>
      <c r="B28">
        <f>VLOOKUP(A28,recipes_ws!$A$2:$G$12,7,FALSE)</f>
        <v>3</v>
      </c>
      <c r="C28" t="str">
        <v>unsalted butter</v>
      </c>
      <c r="D28">
        <f>VLOOKUP(C28,ingredients_ws!$A$2:$D$84,4,FALSE)</f>
        <v>22</v>
      </c>
      <c r="E28">
        <v>50</v>
      </c>
      <c r="F28" t="str">
        <v>g</v>
      </c>
      <c r="G28">
        <f>VLOOKUP(F28,others!$D$2:$E$12,2,FALSE)</f>
        <v>1</v>
      </c>
    </row>
    <row r="29" spans="1:7" x14ac:dyDescent="0.3">
      <c r="A29" t="str">
        <v>Baked mint rice</v>
      </c>
      <c r="B29">
        <f>VLOOKUP(A29,recipes_ws!$A$2:$G$12,7,FALSE)</f>
        <v>3</v>
      </c>
      <c r="C29" t="str">
        <v>boiling water</v>
      </c>
      <c r="D29">
        <f>VLOOKUP(C29,ingredients_ws!$A$2:$D$84,4,FALSE)</f>
        <v>23</v>
      </c>
      <c r="E29">
        <v>800</v>
      </c>
      <c r="F29" t="str">
        <v>ml</v>
      </c>
      <c r="G29">
        <f>VLOOKUP(F29,others!$D$2:$E$12,2,FALSE)</f>
        <v>3</v>
      </c>
    </row>
    <row r="30" spans="1:7" x14ac:dyDescent="0.3">
      <c r="A30" t="str">
        <v>Baked mint rice</v>
      </c>
      <c r="B30">
        <f>VLOOKUP(A30,recipes_ws!$A$2:$G$12,7,FALSE)</f>
        <v>3</v>
      </c>
      <c r="C30" t="str">
        <v>mint</v>
      </c>
      <c r="D30">
        <f>VLOOKUP(C30,ingredients_ws!$A$2:$D$84,4,FALSE)</f>
        <v>24</v>
      </c>
      <c r="E30">
        <v>50</v>
      </c>
      <c r="F30" t="str">
        <v>g</v>
      </c>
      <c r="G30">
        <f>VLOOKUP(F30,others!$D$2:$E$12,2,FALSE)</f>
        <v>1</v>
      </c>
    </row>
    <row r="31" spans="1:7" x14ac:dyDescent="0.3">
      <c r="A31" t="str">
        <v>Baked mint rice</v>
      </c>
      <c r="B31">
        <f>VLOOKUP(A31,recipes_ws!$A$2:$G$12,7,FALSE)</f>
        <v>3</v>
      </c>
      <c r="C31" t="str">
        <v>feta</v>
      </c>
      <c r="D31">
        <f>VLOOKUP(C31,ingredients_ws!$A$2:$D$84,4,FALSE)</f>
        <v>25</v>
      </c>
      <c r="E31">
        <v>150</v>
      </c>
      <c r="F31" t="str">
        <v>g</v>
      </c>
      <c r="G31">
        <f>VLOOKUP(F31,others!$D$2:$E$12,2,FALSE)</f>
        <v>1</v>
      </c>
    </row>
    <row r="32" spans="1:7" x14ac:dyDescent="0.3">
      <c r="A32" t="str">
        <v>Baked mint rice</v>
      </c>
      <c r="B32">
        <f>VLOOKUP(A32,recipes_ws!$A$2:$G$12,7,FALSE)</f>
        <v>3</v>
      </c>
      <c r="C32" t="str">
        <v>salt</v>
      </c>
      <c r="D32">
        <f>VLOOKUP(C32,ingredients_ws!$A$2:$D$84,4,FALSE)</f>
        <v>13</v>
      </c>
      <c r="E32">
        <v>0.1</v>
      </c>
      <c r="F32" t="str">
        <v>tsp</v>
      </c>
      <c r="G32">
        <f>VLOOKUP(F32,others!$D$2:$E$12,2,FALSE)</f>
        <v>5</v>
      </c>
    </row>
    <row r="33" spans="1:7" x14ac:dyDescent="0.3">
      <c r="A33" t="str">
        <v>Baked mint rice</v>
      </c>
      <c r="B33">
        <f>VLOOKUP(A33,recipes_ws!$A$2:$G$12,7,FALSE)</f>
        <v>3</v>
      </c>
      <c r="C33" t="str">
        <v>black pepper</v>
      </c>
      <c r="D33">
        <f>VLOOKUP(C33,ingredients_ws!$A$2:$D$84,4,FALSE)</f>
        <v>14</v>
      </c>
      <c r="E33">
        <v>0.1</v>
      </c>
      <c r="F33" t="str">
        <v>tsp</v>
      </c>
      <c r="G33">
        <f>VLOOKUP(F33,others!$D$2:$E$12,2,FALSE)</f>
        <v>5</v>
      </c>
    </row>
    <row r="34" spans="1:7" x14ac:dyDescent="0.3">
      <c r="A34" t="str">
        <v>Baked mint rice</v>
      </c>
      <c r="B34">
        <f>VLOOKUP(A34,recipes_ws!$A$2:$G$12,7,FALSE)</f>
        <v>3</v>
      </c>
      <c r="C34" t="str">
        <v>pitted green olives</v>
      </c>
      <c r="D34">
        <f>VLOOKUP(C34,ingredients_ws!$A$2:$D$84,4,FALSE)</f>
        <v>26</v>
      </c>
      <c r="E34">
        <v>40</v>
      </c>
      <c r="F34" t="str">
        <v>g</v>
      </c>
      <c r="G34">
        <f>VLOOKUP(F34,others!$D$2:$E$12,2,FALSE)</f>
        <v>1</v>
      </c>
    </row>
    <row r="35" spans="1:7" x14ac:dyDescent="0.3">
      <c r="A35" t="str">
        <v>Baked mint rice</v>
      </c>
      <c r="B35">
        <f>VLOOKUP(A35,recipes_ws!$A$2:$G$12,7,FALSE)</f>
        <v>3</v>
      </c>
      <c r="C35" t="str">
        <v>pomegranate seeds</v>
      </c>
      <c r="D35">
        <f>VLOOKUP(C35,ingredients_ws!$A$2:$D$84,4,FALSE)</f>
        <v>27</v>
      </c>
      <c r="E35">
        <v>90</v>
      </c>
      <c r="F35" t="str">
        <v>g</v>
      </c>
      <c r="G35">
        <f>VLOOKUP(F35,others!$D$2:$E$12,2,FALSE)</f>
        <v>1</v>
      </c>
    </row>
    <row r="36" spans="1:7" x14ac:dyDescent="0.3">
      <c r="A36" t="str">
        <v>Baked mint rice</v>
      </c>
      <c r="B36">
        <f>VLOOKUP(A36,recipes_ws!$A$2:$G$12,7,FALSE)</f>
        <v>3</v>
      </c>
      <c r="C36" t="str">
        <v>walnut</v>
      </c>
      <c r="D36">
        <f>VLOOKUP(C36,ingredients_ws!$A$2:$D$84,4,FALSE)</f>
        <v>28</v>
      </c>
      <c r="E36">
        <v>50</v>
      </c>
      <c r="F36" t="str">
        <v>g</v>
      </c>
      <c r="G36">
        <f>VLOOKUP(F36,others!$D$2:$E$12,2,FALSE)</f>
        <v>1</v>
      </c>
    </row>
    <row r="37" spans="1:7" x14ac:dyDescent="0.3">
      <c r="A37" t="str">
        <v>Baked mint rice</v>
      </c>
      <c r="B37">
        <f>VLOOKUP(A37,recipes_ws!$A$2:$G$12,7,FALSE)</f>
        <v>3</v>
      </c>
      <c r="C37" t="str">
        <v>olive oil</v>
      </c>
      <c r="D37">
        <f>VLOOKUP(C37,ingredients_ws!$A$2:$D$84,4,FALSE)</f>
        <v>8</v>
      </c>
      <c r="E37">
        <v>45</v>
      </c>
      <c r="F37" t="str">
        <v>ml</v>
      </c>
      <c r="G37">
        <f>VLOOKUP(F37,others!$D$2:$E$12,2,FALSE)</f>
        <v>3</v>
      </c>
    </row>
    <row r="38" spans="1:7" x14ac:dyDescent="0.3">
      <c r="A38" t="str">
        <v>Baked mint rice</v>
      </c>
      <c r="B38">
        <f>VLOOKUP(A38,recipes_ws!$A$2:$G$12,7,FALSE)</f>
        <v>3</v>
      </c>
      <c r="C38" t="str">
        <v>pomegranate molasses</v>
      </c>
      <c r="D38">
        <f>VLOOKUP(C38,ingredients_ws!$A$2:$D$84,4,FALSE)</f>
        <v>29</v>
      </c>
      <c r="E38">
        <v>1</v>
      </c>
      <c r="F38" t="str">
        <v>tbsp</v>
      </c>
      <c r="G38">
        <f>VLOOKUP(F38,others!$D$2:$E$12,2,FALSE)</f>
        <v>6</v>
      </c>
    </row>
    <row r="39" spans="1:7" x14ac:dyDescent="0.3">
      <c r="A39" t="str">
        <v>Baked mint rice</v>
      </c>
      <c r="B39">
        <f>VLOOKUP(A39,recipes_ws!$A$2:$G$12,7,FALSE)</f>
        <v>3</v>
      </c>
      <c r="C39" t="str">
        <v>garlic clove</v>
      </c>
      <c r="D39">
        <f>VLOOKUP(C39,ingredients_ws!$A$2:$D$84,4,FALSE)</f>
        <v>2</v>
      </c>
      <c r="E39">
        <v>1</v>
      </c>
      <c r="F39" t="str">
        <v>clove</v>
      </c>
      <c r="G39">
        <f>VLOOKUP(F39,others!$D$2:$E$12,2,FALSE)</f>
        <v>8</v>
      </c>
    </row>
    <row r="40" spans="1:7" x14ac:dyDescent="0.3">
      <c r="A40" t="str">
        <v>Baked rice with tomato and garlic</v>
      </c>
      <c r="B40">
        <f>VLOOKUP(A40,recipes_ws!$A$2:$G$12,7,FALSE)</f>
        <v>4</v>
      </c>
      <c r="C40" t="str">
        <v>cherry tomato</v>
      </c>
      <c r="D40">
        <f>VLOOKUP(C40,ingredients_ws!$A$2:$D$84,4,FALSE)</f>
        <v>30</v>
      </c>
      <c r="E40">
        <v>800</v>
      </c>
      <c r="F40" t="str">
        <v>g</v>
      </c>
      <c r="G40">
        <f>VLOOKUP(F40,others!$D$2:$E$12,2,FALSE)</f>
        <v>1</v>
      </c>
    </row>
    <row r="41" spans="1:7" x14ac:dyDescent="0.3">
      <c r="A41" t="str">
        <v>Baked rice with tomato and garlic</v>
      </c>
      <c r="B41">
        <f>VLOOKUP(A41,recipes_ws!$A$2:$G$12,7,FALSE)</f>
        <v>4</v>
      </c>
      <c r="C41" t="str">
        <v>garlic clove</v>
      </c>
      <c r="D41">
        <f>VLOOKUP(C41,ingredients_ws!$A$2:$D$84,4,FALSE)</f>
        <v>2</v>
      </c>
      <c r="E41">
        <v>12</v>
      </c>
      <c r="F41" t="str">
        <v>clove</v>
      </c>
      <c r="G41">
        <f>VLOOKUP(F41,others!$D$2:$E$12,2,FALSE)</f>
        <v>8</v>
      </c>
    </row>
    <row r="42" spans="1:7" x14ac:dyDescent="0.3">
      <c r="A42" t="str">
        <v>Baked rice with tomato and garlic</v>
      </c>
      <c r="B42">
        <f>VLOOKUP(A42,recipes_ws!$A$2:$G$12,7,FALSE)</f>
        <v>4</v>
      </c>
      <c r="C42" t="str">
        <v>shallots</v>
      </c>
      <c r="D42">
        <f>VLOOKUP(C42,ingredients_ws!$A$2:$D$84,4,FALSE)</f>
        <v>31</v>
      </c>
      <c r="E42">
        <v>220</v>
      </c>
      <c r="F42" t="str">
        <v>g</v>
      </c>
      <c r="G42">
        <f>VLOOKUP(F42,others!$D$2:$E$12,2,FALSE)</f>
        <v>1</v>
      </c>
    </row>
    <row r="43" spans="1:7" x14ac:dyDescent="0.3">
      <c r="A43" t="str">
        <v>Baked rice with tomato and garlic</v>
      </c>
      <c r="B43">
        <f>VLOOKUP(A43,recipes_ws!$A$2:$G$12,7,FALSE)</f>
        <v>4</v>
      </c>
      <c r="C43" t="str">
        <v>coriander</v>
      </c>
      <c r="D43">
        <f>VLOOKUP(C43,ingredients_ws!$A$2:$D$84,4,FALSE)</f>
        <v>3</v>
      </c>
      <c r="E43">
        <v>25</v>
      </c>
      <c r="F43" t="str">
        <v>g</v>
      </c>
      <c r="G43">
        <f>VLOOKUP(F43,others!$D$2:$E$12,2,FALSE)</f>
        <v>1</v>
      </c>
    </row>
    <row r="44" spans="1:7" x14ac:dyDescent="0.3">
      <c r="A44" t="str">
        <v>Baked rice with tomato and garlic</v>
      </c>
      <c r="B44">
        <f>VLOOKUP(A44,recipes_ws!$A$2:$G$12,7,FALSE)</f>
        <v>4</v>
      </c>
      <c r="C44" t="str">
        <v>thyme</v>
      </c>
      <c r="D44">
        <f>VLOOKUP(C44,ingredients_ws!$A$2:$D$84,4,FALSE)</f>
        <v>32</v>
      </c>
      <c r="E44">
        <v>20</v>
      </c>
      <c r="F44" t="str">
        <v>g</v>
      </c>
      <c r="G44">
        <f>VLOOKUP(F44,others!$D$2:$E$12,2,FALSE)</f>
        <v>1</v>
      </c>
    </row>
    <row r="45" spans="1:7" x14ac:dyDescent="0.3">
      <c r="A45" t="str">
        <v>Baked rice with tomato and garlic</v>
      </c>
      <c r="B45">
        <f>VLOOKUP(A45,recipes_ws!$A$2:$G$12,7,FALSE)</f>
        <v>4</v>
      </c>
      <c r="C45" t="str">
        <v>cinnamon stick</v>
      </c>
      <c r="D45">
        <f>VLOOKUP(C45,ingredients_ws!$A$2:$D$84,4,FALSE)</f>
        <v>33</v>
      </c>
      <c r="E45">
        <v>4</v>
      </c>
      <c r="F45" t="str">
        <v>each</v>
      </c>
      <c r="G45">
        <f>VLOOKUP(F45,others!$D$2:$E$12,2,FALSE)</f>
        <v>7</v>
      </c>
    </row>
    <row r="46" spans="1:7" x14ac:dyDescent="0.3">
      <c r="A46" t="str">
        <v>Baked rice with tomato and garlic</v>
      </c>
      <c r="B46">
        <f>VLOOKUP(A46,recipes_ws!$A$2:$G$12,7,FALSE)</f>
        <v>4</v>
      </c>
      <c r="C46" t="str">
        <v>olive oil</v>
      </c>
      <c r="D46">
        <f>VLOOKUP(C46,ingredients_ws!$A$2:$D$84,4,FALSE)</f>
        <v>8</v>
      </c>
      <c r="E46">
        <v>100</v>
      </c>
      <c r="F46" t="str">
        <v>ml</v>
      </c>
      <c r="G46">
        <f>VLOOKUP(F46,others!$D$2:$E$12,2,FALSE)</f>
        <v>3</v>
      </c>
    </row>
    <row r="47" spans="1:7" x14ac:dyDescent="0.3">
      <c r="A47" t="str">
        <v>Baked rice with tomato and garlic</v>
      </c>
      <c r="B47">
        <f>VLOOKUP(A47,recipes_ws!$A$2:$G$12,7,FALSE)</f>
        <v>4</v>
      </c>
      <c r="C47" t="str">
        <v>basmati rice</v>
      </c>
      <c r="D47">
        <f>VLOOKUP(C47,ingredients_ws!$A$2:$D$84,4,FALSE)</f>
        <v>21</v>
      </c>
      <c r="E47">
        <v>300</v>
      </c>
      <c r="F47" t="str">
        <v>g</v>
      </c>
      <c r="G47">
        <f>VLOOKUP(F47,others!$D$2:$E$12,2,FALSE)</f>
        <v>1</v>
      </c>
    </row>
    <row r="48" spans="1:7" x14ac:dyDescent="0.3">
      <c r="A48" t="str">
        <v>Baked rice with tomato and garlic</v>
      </c>
      <c r="B48">
        <f>VLOOKUP(A48,recipes_ws!$A$2:$G$12,7,FALSE)</f>
        <v>4</v>
      </c>
      <c r="C48" t="str">
        <v>boiling water</v>
      </c>
      <c r="D48">
        <f>VLOOKUP(C48,ingredients_ws!$A$2:$D$84,4,FALSE)</f>
        <v>23</v>
      </c>
      <c r="E48">
        <v>600</v>
      </c>
      <c r="F48" t="str">
        <v>ml</v>
      </c>
      <c r="G48">
        <f>VLOOKUP(F48,others!$D$2:$E$12,2,FALSE)</f>
        <v>3</v>
      </c>
    </row>
    <row r="49" spans="1:7" x14ac:dyDescent="0.3">
      <c r="A49" t="str">
        <v>Baked rice with tomato and garlic</v>
      </c>
      <c r="B49">
        <f>VLOOKUP(A49,recipes_ws!$A$2:$G$12,7,FALSE)</f>
        <v>4</v>
      </c>
      <c r="C49" t="str">
        <v>salt</v>
      </c>
      <c r="D49">
        <f>VLOOKUP(C49,ingredients_ws!$A$2:$D$84,4,FALSE)</f>
        <v>13</v>
      </c>
      <c r="E49">
        <v>0.1</v>
      </c>
      <c r="F49" t="str">
        <v>tsp</v>
      </c>
      <c r="G49">
        <f>VLOOKUP(F49,others!$D$2:$E$12,2,FALSE)</f>
        <v>5</v>
      </c>
    </row>
    <row r="50" spans="1:7" x14ac:dyDescent="0.3">
      <c r="A50" t="str">
        <v>Baked rice with tomato and garlic</v>
      </c>
      <c r="B50">
        <f>VLOOKUP(A50,recipes_ws!$A$2:$G$12,7,FALSE)</f>
        <v>4</v>
      </c>
      <c r="C50" t="str">
        <v>black pepper</v>
      </c>
      <c r="D50">
        <f>VLOOKUP(C50,ingredients_ws!$A$2:$D$84,4,FALSE)</f>
        <v>14</v>
      </c>
      <c r="E50">
        <v>0.1</v>
      </c>
      <c r="F50" t="str">
        <v>tsp</v>
      </c>
      <c r="G50">
        <f>VLOOKUP(F50,others!$D$2:$E$12,2,FALSE)</f>
        <v>5</v>
      </c>
    </row>
    <row r="51" spans="1:7" x14ac:dyDescent="0.3">
      <c r="A51" t="str">
        <v>TV chips</v>
      </c>
      <c r="B51">
        <f>VLOOKUP(A51,recipes_ws!$A$2:$G$12,7,FALSE)</f>
        <v>5</v>
      </c>
      <c r="C51" t="str">
        <v>potato</v>
      </c>
      <c r="D51">
        <f>VLOOKUP(C51,ingredients_ws!$A$2:$D$84,4,FALSE)</f>
        <v>34</v>
      </c>
      <c r="E51">
        <v>1</v>
      </c>
      <c r="F51" t="str">
        <v>kg</v>
      </c>
      <c r="G51">
        <f>VLOOKUP(F51,others!$D$2:$E$12,2,FALSE)</f>
        <v>2</v>
      </c>
    </row>
    <row r="52" spans="1:7" x14ac:dyDescent="0.3">
      <c r="A52" t="str">
        <v>TV chips</v>
      </c>
      <c r="B52">
        <f>VLOOKUP(A52,recipes_ws!$A$2:$G$12,7,FALSE)</f>
        <v>5</v>
      </c>
      <c r="C52" t="str">
        <v>olive oil</v>
      </c>
      <c r="D52">
        <f>VLOOKUP(C52,ingredients_ws!$A$2:$D$84,4,FALSE)</f>
        <v>8</v>
      </c>
      <c r="E52">
        <v>45</v>
      </c>
      <c r="F52" t="str">
        <v>ml</v>
      </c>
      <c r="G52">
        <f>VLOOKUP(F52,others!$D$2:$E$12,2,FALSE)</f>
        <v>3</v>
      </c>
    </row>
    <row r="53" spans="1:7" x14ac:dyDescent="0.3">
      <c r="A53" t="str">
        <v>TV chips</v>
      </c>
      <c r="B53">
        <f>VLOOKUP(A53,recipes_ws!$A$2:$G$12,7,FALSE)</f>
        <v>5</v>
      </c>
      <c r="C53" t="str">
        <v>flaked salt</v>
      </c>
      <c r="D53">
        <f>VLOOKUP(C53,ingredients_ws!$A$2:$D$84,4,FALSE)</f>
        <v>35</v>
      </c>
      <c r="E53">
        <v>2</v>
      </c>
      <c r="F53" t="str">
        <v>tsp</v>
      </c>
      <c r="G53">
        <f>VLOOKUP(F53,others!$D$2:$E$12,2,FALSE)</f>
        <v>5</v>
      </c>
    </row>
    <row r="54" spans="1:7" x14ac:dyDescent="0.3">
      <c r="A54" t="str">
        <v>TV chips</v>
      </c>
      <c r="B54">
        <f>VLOOKUP(A54,recipes_ws!$A$2:$G$12,7,FALSE)</f>
        <v>5</v>
      </c>
      <c r="C54" t="str">
        <v>tinned tuna</v>
      </c>
      <c r="D54">
        <f>VLOOKUP(C54,ingredients_ws!$A$2:$D$84,4,FALSE)</f>
        <v>36</v>
      </c>
      <c r="E54">
        <v>160</v>
      </c>
      <c r="F54" t="str">
        <v>g</v>
      </c>
      <c r="G54">
        <f>VLOOKUP(F54,others!$D$2:$E$12,2,FALSE)</f>
        <v>1</v>
      </c>
    </row>
    <row r="55" spans="1:7" x14ac:dyDescent="0.3">
      <c r="A55" t="str">
        <v>TV chips</v>
      </c>
      <c r="B55">
        <f>VLOOKUP(A55,recipes_ws!$A$2:$G$12,7,FALSE)</f>
        <v>5</v>
      </c>
      <c r="C55" t="str">
        <v>chives</v>
      </c>
      <c r="D55">
        <f>VLOOKUP(C55,ingredients_ws!$A$2:$D$84,4,FALSE)</f>
        <v>37</v>
      </c>
      <c r="E55">
        <v>5</v>
      </c>
      <c r="F55" t="str">
        <v>g</v>
      </c>
      <c r="G55">
        <f>VLOOKUP(F55,others!$D$2:$E$12,2,FALSE)</f>
        <v>1</v>
      </c>
    </row>
    <row r="56" spans="1:7" x14ac:dyDescent="0.3">
      <c r="A56" t="str">
        <v>TV chips</v>
      </c>
      <c r="B56">
        <f>VLOOKUP(A56,recipes_ws!$A$2:$G$12,7,FALSE)</f>
        <v>5</v>
      </c>
      <c r="C56" t="str">
        <v>basil</v>
      </c>
      <c r="D56">
        <f>VLOOKUP(C56,ingredients_ws!$A$2:$D$84,4,FALSE)</f>
        <v>38</v>
      </c>
      <c r="E56">
        <v>5</v>
      </c>
      <c r="F56" t="str">
        <v>g</v>
      </c>
      <c r="G56">
        <f>VLOOKUP(F56,others!$D$2:$E$12,2,FALSE)</f>
        <v>1</v>
      </c>
    </row>
    <row r="57" spans="1:7" x14ac:dyDescent="0.3">
      <c r="A57" t="str">
        <v>TV chips</v>
      </c>
      <c r="B57">
        <f>VLOOKUP(A57,recipes_ws!$A$2:$G$12,7,FALSE)</f>
        <v>5</v>
      </c>
      <c r="C57" t="str">
        <v>black pepper</v>
      </c>
      <c r="D57">
        <f>VLOOKUP(C57,ingredients_ws!$A$2:$D$84,4,FALSE)</f>
        <v>14</v>
      </c>
      <c r="E57">
        <v>0.1</v>
      </c>
      <c r="F57" t="str">
        <v>tsp</v>
      </c>
      <c r="G57">
        <f>VLOOKUP(F57,others!$D$2:$E$12,2,FALSE)</f>
        <v>5</v>
      </c>
    </row>
    <row r="58" spans="1:7" x14ac:dyDescent="0.3">
      <c r="A58" t="str">
        <v>TV chips</v>
      </c>
      <c r="B58">
        <f>VLOOKUP(A58,recipes_ws!$A$2:$G$12,7,FALSE)</f>
        <v>5</v>
      </c>
      <c r="C58" t="str">
        <v>onion</v>
      </c>
      <c r="D58">
        <f>VLOOKUP(C58,ingredients_ws!$A$2:$D$84,4,FALSE)</f>
        <v>1</v>
      </c>
      <c r="E58">
        <v>0.5</v>
      </c>
      <c r="F58" t="str">
        <v>each</v>
      </c>
      <c r="G58">
        <f>VLOOKUP(F58,others!$D$2:$E$12,2,FALSE)</f>
        <v>7</v>
      </c>
    </row>
    <row r="59" spans="1:7" x14ac:dyDescent="0.3">
      <c r="A59" t="str">
        <v>TV chips</v>
      </c>
      <c r="B59">
        <f>VLOOKUP(A59,recipes_ws!$A$2:$G$12,7,FALSE)</f>
        <v>5</v>
      </c>
      <c r="C59" t="str">
        <v>lemon juice</v>
      </c>
      <c r="D59">
        <f>VLOOKUP(C59,ingredients_ws!$A$2:$D$84,4,FALSE)</f>
        <v>20</v>
      </c>
      <c r="E59">
        <v>2</v>
      </c>
      <c r="F59" t="str">
        <v>tbsp</v>
      </c>
      <c r="G59">
        <f>VLOOKUP(F59,others!$D$2:$E$12,2,FALSE)</f>
        <v>6</v>
      </c>
    </row>
    <row r="60" spans="1:7" x14ac:dyDescent="0.3">
      <c r="A60" t="str">
        <v>TV chips</v>
      </c>
      <c r="B60">
        <f>VLOOKUP(A60,recipes_ws!$A$2:$G$12,7,FALSE)</f>
        <v>5</v>
      </c>
      <c r="C60" t="str">
        <v>flaked salt</v>
      </c>
      <c r="D60">
        <f>VLOOKUP(C60,ingredients_ws!$A$2:$D$84,4,FALSE)</f>
        <v>35</v>
      </c>
      <c r="E60" t="str">
        <v>1/2</v>
      </c>
      <c r="F60" t="str">
        <v>tsp</v>
      </c>
      <c r="G60">
        <f>VLOOKUP(F60,others!$D$2:$E$12,2,FALSE)</f>
        <v>5</v>
      </c>
    </row>
    <row r="61" spans="1:7" x14ac:dyDescent="0.3">
      <c r="A61" t="str">
        <v>TV chips</v>
      </c>
      <c r="B61">
        <f>VLOOKUP(A61,recipes_ws!$A$2:$G$12,7,FALSE)</f>
        <v>5</v>
      </c>
      <c r="C61" t="str">
        <v>double cream</v>
      </c>
      <c r="D61">
        <f>VLOOKUP(C61,ingredients_ws!$A$2:$D$84,4,FALSE)</f>
        <v>39</v>
      </c>
      <c r="E61">
        <v>4</v>
      </c>
      <c r="F61" t="str">
        <v>tbsp</v>
      </c>
      <c r="G61">
        <f>VLOOKUP(F61,others!$D$2:$E$12,2,FALSE)</f>
        <v>6</v>
      </c>
    </row>
    <row r="62" spans="1:7" x14ac:dyDescent="0.3">
      <c r="A62" t="str">
        <v>TV chips</v>
      </c>
      <c r="B62">
        <f>VLOOKUP(A62,recipes_ws!$A$2:$G$12,7,FALSE)</f>
        <v>5</v>
      </c>
      <c r="C62" t="str">
        <v>Parmesan</v>
      </c>
      <c r="D62">
        <f>VLOOKUP(C62,ingredients_ws!$A$2:$D$84,4,FALSE)</f>
        <v>40</v>
      </c>
      <c r="E62">
        <v>15</v>
      </c>
      <c r="F62" t="str">
        <v>g</v>
      </c>
      <c r="G62">
        <f>VLOOKUP(F62,others!$D$2:$E$12,2,FALSE)</f>
        <v>1</v>
      </c>
    </row>
    <row r="63" spans="1:7" x14ac:dyDescent="0.3">
      <c r="A63" t="str">
        <v>TV chips</v>
      </c>
      <c r="B63">
        <f>VLOOKUP(A63,recipes_ws!$A$2:$G$12,7,FALSE)</f>
        <v>5</v>
      </c>
      <c r="C63" t="str">
        <v>garlic clove</v>
      </c>
      <c r="D63">
        <f>VLOOKUP(C63,ingredients_ws!$A$2:$D$84,4,FALSE)</f>
        <v>2</v>
      </c>
      <c r="E63">
        <v>1</v>
      </c>
      <c r="F63" t="str">
        <v>clove</v>
      </c>
      <c r="G63">
        <f>VLOOKUP(F63,others!$D$2:$E$12,2,FALSE)</f>
        <v>8</v>
      </c>
    </row>
    <row r="64" spans="1:7" x14ac:dyDescent="0.3">
      <c r="A64" t="str">
        <v>TV chips</v>
      </c>
      <c r="B64">
        <f>VLOOKUP(A64,recipes_ws!$A$2:$G$12,7,FALSE)</f>
        <v>5</v>
      </c>
      <c r="C64" t="str">
        <v>tomato</v>
      </c>
      <c r="D64">
        <f>VLOOKUP(C64,ingredients_ws!$A$2:$D$84,4,FALSE)</f>
        <v>41</v>
      </c>
      <c r="E64">
        <v>2</v>
      </c>
      <c r="F64" t="str">
        <v>each</v>
      </c>
      <c r="G64">
        <f>VLOOKUP(F64,others!$D$2:$E$12,2,FALSE)</f>
        <v>7</v>
      </c>
    </row>
    <row r="65" spans="1:7" x14ac:dyDescent="0.3">
      <c r="A65" t="str">
        <v>Portokalopita</v>
      </c>
      <c r="B65">
        <f>VLOOKUP(A65,recipes_ws!$A$2:$G$12,7,FALSE)</f>
        <v>6</v>
      </c>
      <c r="C65" t="str">
        <v>orange</v>
      </c>
      <c r="D65">
        <f>VLOOKUP(C65,ingredients_ws!$A$2:$D$84,4,FALSE)</f>
        <v>42</v>
      </c>
      <c r="E65">
        <v>2</v>
      </c>
      <c r="F65" t="str">
        <v>each</v>
      </c>
      <c r="G65">
        <f>VLOOKUP(F65,others!$D$2:$E$12,2,FALSE)</f>
        <v>7</v>
      </c>
    </row>
    <row r="66" spans="1:7" x14ac:dyDescent="0.3">
      <c r="A66" t="str">
        <v>Portokalopita</v>
      </c>
      <c r="B66">
        <f>VLOOKUP(A66,recipes_ws!$A$2:$G$12,7,FALSE)</f>
        <v>6</v>
      </c>
      <c r="C66" t="str">
        <v>filo</v>
      </c>
      <c r="D66">
        <f>VLOOKUP(C66,ingredients_ws!$A$2:$D$84,4,FALSE)</f>
        <v>43</v>
      </c>
      <c r="E66">
        <v>500</v>
      </c>
      <c r="F66" t="str">
        <v>g</v>
      </c>
      <c r="G66">
        <f>VLOOKUP(F66,others!$D$2:$E$12,2,FALSE)</f>
        <v>1</v>
      </c>
    </row>
    <row r="67" spans="1:7" x14ac:dyDescent="0.3">
      <c r="A67" t="str">
        <v>Portokalopita</v>
      </c>
      <c r="B67">
        <f>VLOOKUP(A67,recipes_ws!$A$2:$G$12,7,FALSE)</f>
        <v>6</v>
      </c>
      <c r="C67" t="str">
        <v>caster sugar</v>
      </c>
      <c r="D67">
        <f>VLOOKUP(C67,ingredients_ws!$A$2:$D$84,4,FALSE)</f>
        <v>44</v>
      </c>
      <c r="E67">
        <v>400</v>
      </c>
      <c r="F67" t="str">
        <v>g</v>
      </c>
      <c r="G67">
        <f>VLOOKUP(F67,others!$D$2:$E$12,2,FALSE)</f>
        <v>1</v>
      </c>
    </row>
    <row r="68" spans="1:7" x14ac:dyDescent="0.3">
      <c r="A68" t="str">
        <v>Portokalopita</v>
      </c>
      <c r="B68">
        <f>VLOOKUP(A68,recipes_ws!$A$2:$G$12,7,FALSE)</f>
        <v>6</v>
      </c>
      <c r="C68" t="str">
        <v>cinnamon stick</v>
      </c>
      <c r="D68">
        <f>VLOOKUP(C68,ingredients_ws!$A$2:$D$84,4,FALSE)</f>
        <v>33</v>
      </c>
      <c r="E68">
        <v>1</v>
      </c>
      <c r="F68" t="str">
        <v>each</v>
      </c>
      <c r="G68">
        <f>VLOOKUP(F68,others!$D$2:$E$12,2,FALSE)</f>
        <v>7</v>
      </c>
    </row>
    <row r="69" spans="1:7" x14ac:dyDescent="0.3">
      <c r="A69" t="str">
        <v>Portokalopita</v>
      </c>
      <c r="B69">
        <f>VLOOKUP(A69,recipes_ws!$A$2:$G$12,7,FALSE)</f>
        <v>6</v>
      </c>
      <c r="C69" t="str">
        <v>olive oil</v>
      </c>
      <c r="D69">
        <f>VLOOKUP(C69,ingredients_ws!$A$2:$D$84,4,FALSE)</f>
        <v>8</v>
      </c>
      <c r="E69">
        <v>200</v>
      </c>
      <c r="F69" t="str">
        <v>ml</v>
      </c>
      <c r="G69">
        <f>VLOOKUP(F69,others!$D$2:$E$12,2,FALSE)</f>
        <v>3</v>
      </c>
    </row>
    <row r="70" spans="1:7" x14ac:dyDescent="0.3">
      <c r="A70" t="str">
        <v>Portokalopita</v>
      </c>
      <c r="B70">
        <f>VLOOKUP(A70,recipes_ws!$A$2:$G$12,7,FALSE)</f>
        <v>6</v>
      </c>
      <c r="C70" t="str">
        <v>Greek yoghurt</v>
      </c>
      <c r="D70">
        <f>VLOOKUP(C70,ingredients_ws!$A$2:$D$84,4,FALSE)</f>
        <v>45</v>
      </c>
      <c r="E70">
        <v>250</v>
      </c>
      <c r="F70" t="str">
        <v>g</v>
      </c>
      <c r="G70">
        <f>VLOOKUP(F70,others!$D$2:$E$12,2,FALSE)</f>
        <v>1</v>
      </c>
    </row>
    <row r="71" spans="1:7" x14ac:dyDescent="0.3">
      <c r="A71" t="str">
        <v>Portokalopita</v>
      </c>
      <c r="B71">
        <f>VLOOKUP(A71,recipes_ws!$A$2:$G$12,7,FALSE)</f>
        <v>6</v>
      </c>
      <c r="C71" t="str">
        <v>egg</v>
      </c>
      <c r="D71">
        <f>VLOOKUP(C71,ingredients_ws!$A$2:$D$84,4,FALSE)</f>
        <v>46</v>
      </c>
      <c r="E71">
        <v>5</v>
      </c>
      <c r="F71" t="str">
        <v>each</v>
      </c>
      <c r="G71">
        <f>VLOOKUP(F71,others!$D$2:$E$12,2,FALSE)</f>
        <v>7</v>
      </c>
    </row>
    <row r="72" spans="1:7" x14ac:dyDescent="0.3">
      <c r="A72" t="str">
        <v>Portokalopita</v>
      </c>
      <c r="B72">
        <f>VLOOKUP(A72,recipes_ws!$A$2:$G$12,7,FALSE)</f>
        <v>6</v>
      </c>
      <c r="C72" t="str">
        <v>baking powder</v>
      </c>
      <c r="D72">
        <f>VLOOKUP(C72,ingredients_ws!$A$2:$D$84,4,FALSE)</f>
        <v>47</v>
      </c>
      <c r="E72">
        <v>1</v>
      </c>
      <c r="F72" t="str">
        <v>tbsp</v>
      </c>
      <c r="G72">
        <f>VLOOKUP(F72,others!$D$2:$E$12,2,FALSE)</f>
        <v>6</v>
      </c>
    </row>
    <row r="73" spans="1:7" x14ac:dyDescent="0.3">
      <c r="A73" t="str">
        <v>Portokalopita</v>
      </c>
      <c r="B73">
        <f>VLOOKUP(A73,recipes_ws!$A$2:$G$12,7,FALSE)</f>
        <v>6</v>
      </c>
      <c r="C73" t="str">
        <v>vanilla extract</v>
      </c>
      <c r="D73">
        <f>VLOOKUP(C73,ingredients_ws!$A$2:$D$84,4,FALSE)</f>
        <v>48</v>
      </c>
      <c r="E73">
        <v>1</v>
      </c>
      <c r="F73" t="str">
        <v>tsp</v>
      </c>
      <c r="G73">
        <f>VLOOKUP(F73,others!$D$2:$E$12,2,FALSE)</f>
        <v>5</v>
      </c>
    </row>
    <row r="74" spans="1:7" x14ac:dyDescent="0.3">
      <c r="A74" t="str">
        <v>Blueberry muffins</v>
      </c>
      <c r="B74">
        <f>VLOOKUP(A74,recipes_ws!$A$2:$G$12,7,FALSE)</f>
        <v>7</v>
      </c>
      <c r="C74" t="str">
        <v>wholemeal spelt flour</v>
      </c>
      <c r="D74">
        <f>VLOOKUP(C74,ingredients_ws!$A$2:$D$84,4,FALSE)</f>
        <v>49</v>
      </c>
      <c r="E74">
        <v>140</v>
      </c>
      <c r="F74" t="str">
        <v>g</v>
      </c>
      <c r="G74">
        <f>VLOOKUP(F74,others!$D$2:$E$12,2,FALSE)</f>
        <v>1</v>
      </c>
    </row>
    <row r="75" spans="1:7" x14ac:dyDescent="0.3">
      <c r="A75" t="str">
        <v>Blueberry muffins</v>
      </c>
      <c r="B75">
        <f>VLOOKUP(A75,recipes_ws!$A$2:$G$12,7,FALSE)</f>
        <v>7</v>
      </c>
      <c r="C75" t="str">
        <v>wholemeal plain flour</v>
      </c>
      <c r="D75">
        <f>VLOOKUP(C75,ingredients_ws!$A$2:$D$84,4,FALSE)</f>
        <v>50</v>
      </c>
      <c r="E75">
        <v>150</v>
      </c>
      <c r="F75" t="str">
        <v>g</v>
      </c>
      <c r="G75">
        <f>VLOOKUP(F75,others!$D$2:$E$12,2,FALSE)</f>
        <v>1</v>
      </c>
    </row>
    <row r="76" spans="1:7" x14ac:dyDescent="0.3">
      <c r="A76" t="str">
        <v>Blueberry muffins</v>
      </c>
      <c r="B76">
        <f>VLOOKUP(A76,recipes_ws!$A$2:$G$12,7,FALSE)</f>
        <v>7</v>
      </c>
      <c r="C76" t="str">
        <v>baking powder</v>
      </c>
      <c r="D76">
        <f>VLOOKUP(C76,ingredients_ws!$A$2:$D$84,4,FALSE)</f>
        <v>47</v>
      </c>
      <c r="E76">
        <v>1</v>
      </c>
      <c r="F76" t="str">
        <v>tbsp</v>
      </c>
      <c r="G76">
        <f>VLOOKUP(F76,others!$D$2:$E$12,2,FALSE)</f>
        <v>6</v>
      </c>
    </row>
    <row r="77" spans="1:7" x14ac:dyDescent="0.3">
      <c r="A77" t="str">
        <v>Blueberry muffins</v>
      </c>
      <c r="B77">
        <f>VLOOKUP(A77,recipes_ws!$A$2:$G$12,7,FALSE)</f>
        <v>7</v>
      </c>
      <c r="C77" t="str">
        <v>ground cinnamon</v>
      </c>
      <c r="D77">
        <f>VLOOKUP(C77,ingredients_ws!$A$2:$D$84,4,FALSE)</f>
        <v>51</v>
      </c>
      <c r="E77">
        <v>1</v>
      </c>
      <c r="F77" t="str">
        <v>tsp</v>
      </c>
      <c r="G77">
        <f>VLOOKUP(F77,others!$D$2:$E$12,2,FALSE)</f>
        <v>5</v>
      </c>
    </row>
    <row r="78" spans="1:7" x14ac:dyDescent="0.3">
      <c r="A78" t="str">
        <v>Blueberry muffins</v>
      </c>
      <c r="B78">
        <f>VLOOKUP(A78,recipes_ws!$A$2:$G$12,7,FALSE)</f>
        <v>7</v>
      </c>
      <c r="C78" t="str">
        <v>egg</v>
      </c>
      <c r="D78">
        <f>VLOOKUP(C78,ingredients_ws!$A$2:$D$84,4,FALSE)</f>
        <v>46</v>
      </c>
      <c r="E78">
        <v>1</v>
      </c>
      <c r="F78" t="str">
        <v>each</v>
      </c>
      <c r="G78">
        <f>VLOOKUP(F78,others!$D$2:$E$12,2,FALSE)</f>
        <v>7</v>
      </c>
    </row>
    <row r="79" spans="1:7" x14ac:dyDescent="0.3">
      <c r="A79" t="str">
        <v>Blueberry muffins</v>
      </c>
      <c r="B79">
        <f>VLOOKUP(A79,recipes_ws!$A$2:$G$12,7,FALSE)</f>
        <v>7</v>
      </c>
      <c r="C79" t="str">
        <v>olive oil</v>
      </c>
      <c r="D79">
        <f>VLOOKUP(C79,ingredients_ws!$A$2:$D$84,4,FALSE)</f>
        <v>8</v>
      </c>
      <c r="E79">
        <v>160</v>
      </c>
      <c r="F79" t="str">
        <v>ml</v>
      </c>
      <c r="G79">
        <f>VLOOKUP(F79,others!$D$2:$E$12,2,FALSE)</f>
        <v>3</v>
      </c>
    </row>
    <row r="80" spans="1:7" x14ac:dyDescent="0.3">
      <c r="A80" t="str">
        <v>Blueberry muffins</v>
      </c>
      <c r="B80">
        <f>VLOOKUP(A80,recipes_ws!$A$2:$G$12,7,FALSE)</f>
        <v>7</v>
      </c>
      <c r="C80" t="str">
        <v>vanilla extract</v>
      </c>
      <c r="D80">
        <f>VLOOKUP(C80,ingredients_ws!$A$2:$D$84,4,FALSE)</f>
        <v>48</v>
      </c>
      <c r="E80">
        <v>1</v>
      </c>
      <c r="F80" t="str">
        <v>tsp</v>
      </c>
      <c r="G80">
        <f>VLOOKUP(F80,others!$D$2:$E$12,2,FALSE)</f>
        <v>5</v>
      </c>
    </row>
    <row r="81" spans="1:7" x14ac:dyDescent="0.3">
      <c r="A81" t="str">
        <v>Blueberry muffins</v>
      </c>
      <c r="B81">
        <f>VLOOKUP(A81,recipes_ws!$A$2:$G$12,7,FALSE)</f>
        <v>7</v>
      </c>
      <c r="C81" t="str">
        <v>maple syrup</v>
      </c>
      <c r="D81">
        <f>VLOOKUP(C81,ingredients_ws!$A$2:$D$84,4,FALSE)</f>
        <v>52</v>
      </c>
      <c r="E81">
        <v>180</v>
      </c>
      <c r="F81" t="str">
        <v>ml</v>
      </c>
      <c r="G81">
        <f>VLOOKUP(F81,others!$D$2:$E$12,2,FALSE)</f>
        <v>3</v>
      </c>
    </row>
    <row r="82" spans="1:7" x14ac:dyDescent="0.3">
      <c r="A82" t="str">
        <v>Blueberry muffins</v>
      </c>
      <c r="B82">
        <f>VLOOKUP(A82,recipes_ws!$A$2:$G$12,7,FALSE)</f>
        <v>7</v>
      </c>
      <c r="C82" t="str">
        <v>milk</v>
      </c>
      <c r="D82">
        <f>VLOOKUP(C82,ingredients_ws!$A$2:$D$84,4,FALSE)</f>
        <v>53</v>
      </c>
      <c r="E82">
        <v>80</v>
      </c>
      <c r="F82" t="str">
        <v>ml</v>
      </c>
      <c r="G82">
        <f>VLOOKUP(F82,others!$D$2:$E$12,2,FALSE)</f>
        <v>3</v>
      </c>
    </row>
    <row r="83" spans="1:7" x14ac:dyDescent="0.3">
      <c r="A83" t="str">
        <v>Blueberry muffins</v>
      </c>
      <c r="B83">
        <f>VLOOKUP(A83,recipes_ws!$A$2:$G$12,7,FALSE)</f>
        <v>7</v>
      </c>
      <c r="C83" t="str">
        <v>frozen blueberry</v>
      </c>
      <c r="D83">
        <f>VLOOKUP(C83,ingredients_ws!$A$2:$D$84,4,FALSE)</f>
        <v>54</v>
      </c>
      <c r="E83">
        <v>375</v>
      </c>
      <c r="F83" t="str">
        <v>g</v>
      </c>
      <c r="G83">
        <f>VLOOKUP(F83,others!$D$2:$E$12,2,FALSE)</f>
        <v>1</v>
      </c>
    </row>
    <row r="84" spans="1:7" x14ac:dyDescent="0.3">
      <c r="A84" t="str">
        <v>Roasted aubergine</v>
      </c>
      <c r="B84">
        <f>VLOOKUP(A84,recipes_ws!$A$2:$G$12,7,FALSE)</f>
        <v>8</v>
      </c>
      <c r="C84" t="str">
        <v>ginger</v>
      </c>
      <c r="D84">
        <f>VLOOKUP(C84,ingredients_ws!$A$2:$D$84,4,FALSE)</f>
        <v>55</v>
      </c>
      <c r="E84">
        <v>15</v>
      </c>
      <c r="F84" t="str">
        <v>g</v>
      </c>
      <c r="G84">
        <f>VLOOKUP(F84,others!$D$2:$E$12,2,FALSE)</f>
        <v>1</v>
      </c>
    </row>
    <row r="85" spans="1:7" x14ac:dyDescent="0.3">
      <c r="A85" t="str">
        <v>Roasted aubergine</v>
      </c>
      <c r="B85">
        <f>VLOOKUP(A85,recipes_ws!$A$2:$G$12,7,FALSE)</f>
        <v>8</v>
      </c>
      <c r="C85" t="str">
        <v>garlic clove</v>
      </c>
      <c r="D85">
        <f>VLOOKUP(C85,ingredients_ws!$A$2:$D$84,4,FALSE)</f>
        <v>2</v>
      </c>
      <c r="E85">
        <v>4</v>
      </c>
      <c r="F85" t="str">
        <v>clove</v>
      </c>
      <c r="G85">
        <f>VLOOKUP(F85,others!$D$2:$E$12,2,FALSE)</f>
        <v>8</v>
      </c>
    </row>
    <row r="86" spans="1:7" x14ac:dyDescent="0.3">
      <c r="A86" t="str">
        <v>Roasted aubergine</v>
      </c>
      <c r="B86">
        <f>VLOOKUP(A86,recipes_ws!$A$2:$G$12,7,FALSE)</f>
        <v>8</v>
      </c>
      <c r="C86" t="str">
        <v>green chilli</v>
      </c>
      <c r="D86">
        <f>VLOOKUP(C86,ingredients_ws!$A$2:$D$84,4,FALSE)</f>
        <v>56</v>
      </c>
      <c r="E86">
        <v>2</v>
      </c>
      <c r="F86" t="str">
        <v>each</v>
      </c>
      <c r="G86">
        <f>VLOOKUP(F86,others!$D$2:$E$12,2,FALSE)</f>
        <v>7</v>
      </c>
    </row>
    <row r="87" spans="1:7" x14ac:dyDescent="0.3">
      <c r="A87" t="str">
        <v>Roasted aubergine</v>
      </c>
      <c r="B87">
        <f>VLOOKUP(A87,recipes_ws!$A$2:$G$12,7,FALSE)</f>
        <v>8</v>
      </c>
      <c r="C87" t="str">
        <v>aubergine</v>
      </c>
      <c r="D87">
        <f>VLOOKUP(C87,ingredients_ws!$A$2:$D$84,4,FALSE)</f>
        <v>57</v>
      </c>
      <c r="E87">
        <v>2</v>
      </c>
      <c r="F87" t="str">
        <v>each</v>
      </c>
      <c r="G87">
        <f>VLOOKUP(F87,others!$D$2:$E$12,2,FALSE)</f>
        <v>7</v>
      </c>
    </row>
    <row r="88" spans="1:7" x14ac:dyDescent="0.3">
      <c r="A88" t="str">
        <v>Roasted aubergine</v>
      </c>
      <c r="B88">
        <f>VLOOKUP(A88,recipes_ws!$A$2:$G$12,7,FALSE)</f>
        <v>8</v>
      </c>
      <c r="C88" t="str">
        <v>cherry tomato</v>
      </c>
      <c r="D88">
        <f>VLOOKUP(C88,ingredients_ws!$A$2:$D$84,4,FALSE)</f>
        <v>30</v>
      </c>
      <c r="E88">
        <v>200</v>
      </c>
      <c r="F88" t="str">
        <v>g</v>
      </c>
      <c r="G88">
        <f>VLOOKUP(F88,others!$D$2:$E$12,2,FALSE)</f>
        <v>1</v>
      </c>
    </row>
    <row r="89" spans="1:7" x14ac:dyDescent="0.3">
      <c r="A89" t="str">
        <v>Roasted aubergine</v>
      </c>
      <c r="B89">
        <f>VLOOKUP(A89,recipes_ws!$A$2:$G$12,7,FALSE)</f>
        <v>8</v>
      </c>
      <c r="C89" t="str">
        <v>spring onion</v>
      </c>
      <c r="D89">
        <f>VLOOKUP(C89,ingredients_ws!$A$2:$D$84,4,FALSE)</f>
        <v>58</v>
      </c>
      <c r="E89">
        <v>4</v>
      </c>
      <c r="F89" t="str">
        <v>each</v>
      </c>
      <c r="G89">
        <f>VLOOKUP(F89,others!$D$2:$E$12,2,FALSE)</f>
        <v>7</v>
      </c>
    </row>
    <row r="90" spans="1:7" x14ac:dyDescent="0.3">
      <c r="A90" t="str">
        <v>Roasted aubergine</v>
      </c>
      <c r="B90">
        <f>VLOOKUP(A90,recipes_ws!$A$2:$G$12,7,FALSE)</f>
        <v>8</v>
      </c>
      <c r="C90" t="str">
        <v>coriander</v>
      </c>
      <c r="D90">
        <f>VLOOKUP(C90,ingredients_ws!$A$2:$D$84,4,FALSE)</f>
        <v>3</v>
      </c>
      <c r="E90">
        <v>50</v>
      </c>
      <c r="F90" t="str">
        <v>g</v>
      </c>
      <c r="G90">
        <f>VLOOKUP(F90,others!$D$2:$E$12,2,FALSE)</f>
        <v>1</v>
      </c>
    </row>
    <row r="91" spans="1:7" x14ac:dyDescent="0.3">
      <c r="A91" t="str">
        <v>Roasted aubergine</v>
      </c>
      <c r="B91">
        <f>VLOOKUP(A91,recipes_ws!$A$2:$G$12,7,FALSE)</f>
        <v>8</v>
      </c>
      <c r="C91" t="str">
        <v>lime</v>
      </c>
      <c r="D91">
        <f>VLOOKUP(C91,ingredients_ws!$A$2:$D$84,4,FALSE)</f>
        <v>59</v>
      </c>
      <c r="E91">
        <v>1</v>
      </c>
      <c r="F91" t="str">
        <v>each</v>
      </c>
      <c r="G91">
        <f>VLOOKUP(F91,others!$D$2:$E$12,2,FALSE)</f>
        <v>7</v>
      </c>
    </row>
    <row r="92" spans="1:7" x14ac:dyDescent="0.3">
      <c r="A92" t="str">
        <v>Roasted aubergine</v>
      </c>
      <c r="B92">
        <f>VLOOKUP(A92,recipes_ws!$A$2:$G$12,7,FALSE)</f>
        <v>8</v>
      </c>
      <c r="C92" t="str">
        <v>tamarind paste</v>
      </c>
      <c r="D92">
        <f>VLOOKUP(C92,ingredients_ws!$A$2:$D$84,4,FALSE)</f>
        <v>60</v>
      </c>
      <c r="E92">
        <v>1</v>
      </c>
      <c r="F92" t="str">
        <v>tbsp</v>
      </c>
      <c r="G92">
        <f>VLOOKUP(F92,others!$D$2:$E$12,2,FALSE)</f>
        <v>6</v>
      </c>
    </row>
    <row r="93" spans="1:7" x14ac:dyDescent="0.3">
      <c r="A93" t="str">
        <v>Roasted aubergine</v>
      </c>
      <c r="B93">
        <f>VLOOKUP(A93,recipes_ws!$A$2:$G$12,7,FALSE)</f>
        <v>8</v>
      </c>
      <c r="C93" t="str">
        <v>honey</v>
      </c>
      <c r="D93">
        <f>VLOOKUP(C93,ingredients_ws!$A$2:$D$84,4,FALSE)</f>
        <v>6</v>
      </c>
      <c r="E93" t="str">
        <v>1/2</v>
      </c>
      <c r="F93" t="str">
        <v>tbsp</v>
      </c>
      <c r="G93">
        <f>VLOOKUP(F93,others!$D$2:$E$12,2,FALSE)</f>
        <v>6</v>
      </c>
    </row>
    <row r="94" spans="1:7" x14ac:dyDescent="0.3">
      <c r="A94" t="str">
        <v>Roasted aubergine</v>
      </c>
      <c r="B94">
        <f>VLOOKUP(A94,recipes_ws!$A$2:$G$12,7,FALSE)</f>
        <v>8</v>
      </c>
      <c r="C94" t="str">
        <v>miso</v>
      </c>
      <c r="D94">
        <f>VLOOKUP(C94,ingredients_ws!$A$2:$D$84,4,FALSE)</f>
        <v>61</v>
      </c>
      <c r="E94">
        <v>3</v>
      </c>
      <c r="F94" t="str">
        <v>tbsp</v>
      </c>
      <c r="G94">
        <f>VLOOKUP(F94,others!$D$2:$E$12,2,FALSE)</f>
        <v>6</v>
      </c>
    </row>
    <row r="95" spans="1:7" x14ac:dyDescent="0.3">
      <c r="A95" t="str">
        <v>Roast pork</v>
      </c>
      <c r="B95">
        <f>VLOOKUP(A95,recipes_ws!$A$2:$G$12,7,FALSE)</f>
        <v>9</v>
      </c>
      <c r="C95" t="str">
        <v>Dijon mustard</v>
      </c>
      <c r="D95">
        <f>VLOOKUP(C95,ingredients_ws!$A$2:$D$84,4,FALSE)</f>
        <v>62</v>
      </c>
      <c r="E95">
        <v>2</v>
      </c>
      <c r="F95" t="str">
        <v>tbsp</v>
      </c>
      <c r="G95">
        <f>VLOOKUP(F95,others!$D$2:$E$12,2,FALSE)</f>
        <v>6</v>
      </c>
    </row>
    <row r="96" spans="1:7" x14ac:dyDescent="0.3">
      <c r="A96" t="str">
        <v>Roast pork</v>
      </c>
      <c r="B96">
        <f>VLOOKUP(A96,recipes_ws!$A$2:$G$12,7,FALSE)</f>
        <v>9</v>
      </c>
      <c r="C96" t="str">
        <v>honey</v>
      </c>
      <c r="D96">
        <f>VLOOKUP(C96,ingredients_ws!$A$2:$D$84,4,FALSE)</f>
        <v>6</v>
      </c>
      <c r="E96">
        <v>2</v>
      </c>
      <c r="F96" t="str">
        <v>tbsp</v>
      </c>
      <c r="G96">
        <f>VLOOKUP(F96,others!$D$2:$E$12,2,FALSE)</f>
        <v>6</v>
      </c>
    </row>
    <row r="97" spans="1:7" x14ac:dyDescent="0.3">
      <c r="A97" t="str">
        <v>Roast pork</v>
      </c>
      <c r="B97">
        <f>VLOOKUP(A97,recipes_ws!$A$2:$G$12,7,FALSE)</f>
        <v>9</v>
      </c>
      <c r="C97" t="str">
        <v>pork joint</v>
      </c>
      <c r="D97">
        <f>VLOOKUP(C97,ingredients_ws!$A$2:$D$84,4,FALSE)</f>
        <v>63</v>
      </c>
      <c r="E97">
        <v>1.3</v>
      </c>
      <c r="F97" t="str">
        <v>kg</v>
      </c>
      <c r="G97">
        <f>VLOOKUP(F97,others!$D$2:$E$12,2,FALSE)</f>
        <v>2</v>
      </c>
    </row>
    <row r="98" spans="1:7" x14ac:dyDescent="0.3">
      <c r="A98" t="str">
        <v>Roast pork</v>
      </c>
      <c r="B98">
        <f>VLOOKUP(A98,recipes_ws!$A$2:$G$12,7,FALSE)</f>
        <v>9</v>
      </c>
      <c r="C98" t="str">
        <v>chicken stock</v>
      </c>
      <c r="D98">
        <f>VLOOKUP(C98,ingredients_ws!$A$2:$D$84,4,FALSE)</f>
        <v>64</v>
      </c>
      <c r="E98">
        <v>500</v>
      </c>
      <c r="F98" t="str">
        <v>ml</v>
      </c>
      <c r="G98">
        <f>VLOOKUP(F98,others!$D$2:$E$12,2,FALSE)</f>
        <v>3</v>
      </c>
    </row>
    <row r="99" spans="1:7" x14ac:dyDescent="0.3">
      <c r="A99" t="str">
        <v>Roast pork</v>
      </c>
      <c r="B99">
        <f>VLOOKUP(A99,recipes_ws!$A$2:$G$12,7,FALSE)</f>
        <v>9</v>
      </c>
      <c r="C99" t="str">
        <v>balsamic vinegar</v>
      </c>
      <c r="D99">
        <f>VLOOKUP(C99,ingredients_ws!$A$2:$D$84,4,FALSE)</f>
        <v>65</v>
      </c>
      <c r="E99">
        <v>2</v>
      </c>
      <c r="F99" t="str">
        <v>tbsp</v>
      </c>
      <c r="G99">
        <f>VLOOKUP(F99,others!$D$2:$E$12,2,FALSE)</f>
        <v>6</v>
      </c>
    </row>
    <row r="100" spans="1:7" x14ac:dyDescent="0.3">
      <c r="A100" t="str">
        <v>Roast pork</v>
      </c>
      <c r="B100">
        <f>VLOOKUP(A100,recipes_ws!$A$2:$G$12,7,FALSE)</f>
        <v>9</v>
      </c>
      <c r="C100" t="str">
        <v>tinned butter beans</v>
      </c>
      <c r="D100">
        <f>VLOOKUP(C100,ingredients_ws!$A$2:$D$84,4,FALSE)</f>
        <v>66</v>
      </c>
      <c r="E100">
        <v>400</v>
      </c>
      <c r="F100" t="str">
        <v>g</v>
      </c>
      <c r="G100">
        <f>VLOOKUP(F100,others!$D$2:$E$12,2,FALSE)</f>
        <v>1</v>
      </c>
    </row>
    <row r="101" spans="1:7" x14ac:dyDescent="0.3">
      <c r="A101" t="str">
        <v>Roast pork</v>
      </c>
      <c r="B101">
        <f>VLOOKUP(A101,recipes_ws!$A$2:$G$12,7,FALSE)</f>
        <v>9</v>
      </c>
      <c r="C101" t="str">
        <v>butter</v>
      </c>
      <c r="D101">
        <f>VLOOKUP(C101,ingredients_ws!$A$2:$D$84,4,FALSE)</f>
        <v>67</v>
      </c>
      <c r="E101">
        <v>20</v>
      </c>
      <c r="F101" t="str">
        <v>g</v>
      </c>
      <c r="G101">
        <f>VLOOKUP(F101,others!$D$2:$E$12,2,FALSE)</f>
        <v>1</v>
      </c>
    </row>
    <row r="102" spans="1:7" x14ac:dyDescent="0.3">
      <c r="A102" t="str">
        <v>Roast pork</v>
      </c>
      <c r="B102">
        <f>VLOOKUP(A102,recipes_ws!$A$2:$G$12,7,FALSE)</f>
        <v>9</v>
      </c>
      <c r="C102" t="str">
        <v>parsley</v>
      </c>
      <c r="D102">
        <f>VLOOKUP(C102,ingredients_ws!$A$2:$D$84,4,FALSE)</f>
        <v>68</v>
      </c>
      <c r="E102">
        <v>10</v>
      </c>
      <c r="F102" t="str">
        <v>g</v>
      </c>
      <c r="G102">
        <f>VLOOKUP(F102,others!$D$2:$E$12,2,FALSE)</f>
        <v>1</v>
      </c>
    </row>
    <row r="103" spans="1:7" x14ac:dyDescent="0.3">
      <c r="A103" t="str">
        <v>Roast pork</v>
      </c>
      <c r="B103">
        <f>VLOOKUP(A103,recipes_ws!$A$2:$G$12,7,FALSE)</f>
        <v>9</v>
      </c>
      <c r="C103" t="str">
        <v>oregano</v>
      </c>
      <c r="D103">
        <f>VLOOKUP(C103,ingredients_ws!$A$2:$D$84,4,FALSE)</f>
        <v>69</v>
      </c>
      <c r="E103">
        <v>5</v>
      </c>
      <c r="F103" t="str">
        <v>g</v>
      </c>
      <c r="G103">
        <f>VLOOKUP(F103,others!$D$2:$E$12,2,FALSE)</f>
        <v>1</v>
      </c>
    </row>
    <row r="104" spans="1:7" x14ac:dyDescent="0.3">
      <c r="A104" t="str">
        <v>Roast pork</v>
      </c>
      <c r="B104">
        <f>VLOOKUP(A104,recipes_ws!$A$2:$G$12,7,FALSE)</f>
        <v>9</v>
      </c>
      <c r="C104" t="str">
        <v>basil</v>
      </c>
      <c r="D104">
        <f>VLOOKUP(C104,ingredients_ws!$A$2:$D$84,4,FALSE)</f>
        <v>38</v>
      </c>
      <c r="E104">
        <v>5</v>
      </c>
      <c r="F104" t="str">
        <v>g</v>
      </c>
      <c r="G104">
        <f>VLOOKUP(F104,others!$D$2:$E$12,2,FALSE)</f>
        <v>1</v>
      </c>
    </row>
    <row r="105" spans="1:7" x14ac:dyDescent="0.3">
      <c r="A105" t="str">
        <v>Roast pork</v>
      </c>
      <c r="B105">
        <f>VLOOKUP(A105,recipes_ws!$A$2:$G$12,7,FALSE)</f>
        <v>9</v>
      </c>
      <c r="C105" t="str">
        <v>dill</v>
      </c>
      <c r="D105">
        <f>VLOOKUP(C105,ingredients_ws!$A$2:$D$84,4,FALSE)</f>
        <v>70</v>
      </c>
      <c r="E105">
        <v>5</v>
      </c>
      <c r="F105" t="str">
        <v>g</v>
      </c>
      <c r="G105">
        <f>VLOOKUP(F105,others!$D$2:$E$12,2,FALSE)</f>
        <v>1</v>
      </c>
    </row>
    <row r="106" spans="1:7" x14ac:dyDescent="0.3">
      <c r="A106" t="str">
        <v>Roast pork</v>
      </c>
      <c r="B106">
        <f>VLOOKUP(A106,recipes_ws!$A$2:$G$12,7,FALSE)</f>
        <v>9</v>
      </c>
      <c r="C106" t="str">
        <v>salt</v>
      </c>
      <c r="D106">
        <f>VLOOKUP(C106,ingredients_ws!$A$2:$D$84,4,FALSE)</f>
        <v>13</v>
      </c>
      <c r="E106">
        <v>0.1</v>
      </c>
      <c r="F106" t="str">
        <v>tsp</v>
      </c>
      <c r="G106">
        <f>VLOOKUP(F106,others!$D$2:$E$12,2,FALSE)</f>
        <v>5</v>
      </c>
    </row>
    <row r="107" spans="1:7" x14ac:dyDescent="0.3">
      <c r="A107" t="str">
        <v>Roast pork</v>
      </c>
      <c r="B107">
        <f>VLOOKUP(A107,recipes_ws!$A$2:$G$12,7,FALSE)</f>
        <v>9</v>
      </c>
      <c r="C107" t="str">
        <v>black pepper</v>
      </c>
      <c r="D107">
        <f>VLOOKUP(C107,ingredients_ws!$A$2:$D$84,4,FALSE)</f>
        <v>14</v>
      </c>
      <c r="E107">
        <v>0.1</v>
      </c>
      <c r="F107" t="str">
        <v>tsp</v>
      </c>
      <c r="G107">
        <f>VLOOKUP(F107,others!$D$2:$E$12,2,FALSE)</f>
        <v>5</v>
      </c>
    </row>
    <row r="108" spans="1:7" x14ac:dyDescent="0.3">
      <c r="A108" t="str">
        <v>Baked Fennel</v>
      </c>
      <c r="B108">
        <f>VLOOKUP(A108,recipes_ws!$A$2:$G$12,7,FALSE)</f>
        <v>10</v>
      </c>
      <c r="C108" t="str">
        <v>fennel bulb</v>
      </c>
      <c r="D108">
        <f>VLOOKUP(C108,ingredients_ws!$A$2:$D$84,4,FALSE)</f>
        <v>71</v>
      </c>
      <c r="E108">
        <v>4</v>
      </c>
      <c r="F108" t="str">
        <v>each</v>
      </c>
      <c r="G108">
        <f>VLOOKUP(F108,others!$D$2:$E$12,2,FALSE)</f>
        <v>7</v>
      </c>
    </row>
    <row r="109" spans="1:7" x14ac:dyDescent="0.3">
      <c r="A109" t="str">
        <v>Baked Fennel</v>
      </c>
      <c r="B109">
        <f>VLOOKUP(A109,recipes_ws!$A$2:$G$12,7,FALSE)</f>
        <v>10</v>
      </c>
      <c r="C109" t="str">
        <v>olive oil</v>
      </c>
      <c r="D109">
        <f>VLOOKUP(C109,ingredients_ws!$A$2:$D$84,4,FALSE)</f>
        <v>8</v>
      </c>
      <c r="E109">
        <v>45</v>
      </c>
      <c r="F109" t="str">
        <v>ml</v>
      </c>
      <c r="G109">
        <f>VLOOKUP(F109,others!$D$2:$E$12,2,FALSE)</f>
        <v>3</v>
      </c>
    </row>
    <row r="110" spans="1:7" x14ac:dyDescent="0.3">
      <c r="A110" t="str">
        <v>Baked Fennel</v>
      </c>
      <c r="B110">
        <f>VLOOKUP(A110,recipes_ws!$A$2:$G$12,7,FALSE)</f>
        <v>10</v>
      </c>
      <c r="C110" t="str">
        <v>garlic clove</v>
      </c>
      <c r="D110">
        <f>VLOOKUP(C110,ingredients_ws!$A$2:$D$84,4,FALSE)</f>
        <v>2</v>
      </c>
      <c r="E110">
        <v>2</v>
      </c>
      <c r="F110" t="str">
        <v>clove</v>
      </c>
      <c r="G110">
        <f>VLOOKUP(F110,others!$D$2:$E$12,2,FALSE)</f>
        <v>8</v>
      </c>
    </row>
    <row r="111" spans="1:7" x14ac:dyDescent="0.3">
      <c r="A111" t="str">
        <v>Baked Fennel</v>
      </c>
      <c r="B111">
        <f>VLOOKUP(A111,recipes_ws!$A$2:$G$12,7,FALSE)</f>
        <v>10</v>
      </c>
      <c r="C111" t="str">
        <v>fennel seeds</v>
      </c>
      <c r="D111">
        <f>VLOOKUP(C111,ingredients_ws!$A$2:$D$84,4,FALSE)</f>
        <v>72</v>
      </c>
      <c r="E111">
        <v>3</v>
      </c>
      <c r="F111" t="str">
        <v>tsp</v>
      </c>
      <c r="G111">
        <f>VLOOKUP(F111,others!$D$2:$E$12,2,FALSE)</f>
        <v>5</v>
      </c>
    </row>
    <row r="112" spans="1:7" x14ac:dyDescent="0.3">
      <c r="A112" t="str">
        <v>Baked Fennel</v>
      </c>
      <c r="B112">
        <f>VLOOKUP(A112,recipes_ws!$A$2:$G$12,7,FALSE)</f>
        <v>10</v>
      </c>
      <c r="C112" t="str">
        <v>chilli flake</v>
      </c>
      <c r="D112">
        <f>VLOOKUP(C112,ingredients_ws!$A$2:$D$84,4,FALSE)</f>
        <v>73</v>
      </c>
      <c r="E112">
        <v>3</v>
      </c>
      <c r="F112" t="str">
        <v>tsp</v>
      </c>
      <c r="G112">
        <f>VLOOKUP(F112,others!$D$2:$E$12,2,FALSE)</f>
        <v>5</v>
      </c>
    </row>
    <row r="113" spans="1:7" x14ac:dyDescent="0.3">
      <c r="A113" t="str">
        <v>Baked Fennel</v>
      </c>
      <c r="B113">
        <f>VLOOKUP(A113,recipes_ws!$A$2:$G$12,7,FALSE)</f>
        <v>10</v>
      </c>
      <c r="C113" t="str">
        <v>salt flake</v>
      </c>
      <c r="D113">
        <f>VLOOKUP(C113,ingredients_ws!$A$2:$D$84,4,FALSE)</f>
        <v>74</v>
      </c>
      <c r="E113">
        <v>0.1</v>
      </c>
      <c r="F113" t="str">
        <v>tsp</v>
      </c>
      <c r="G113">
        <f>VLOOKUP(F113,others!$D$2:$E$12,2,FALSE)</f>
        <v>5</v>
      </c>
    </row>
    <row r="114" spans="1:7" x14ac:dyDescent="0.3">
      <c r="A114" t="str">
        <v>Baked Fennel</v>
      </c>
      <c r="B114">
        <f>VLOOKUP(A114,recipes_ws!$A$2:$G$12,7,FALSE)</f>
        <v>10</v>
      </c>
      <c r="C114" t="str">
        <v>black pepper</v>
      </c>
      <c r="D114">
        <f>VLOOKUP(C114,ingredients_ws!$A$2:$D$84,4,FALSE)</f>
        <v>14</v>
      </c>
      <c r="E114">
        <v>0.1</v>
      </c>
      <c r="F114" t="str">
        <v>tsp</v>
      </c>
      <c r="G114">
        <f>VLOOKUP(F114,others!$D$2:$E$12,2,FALSE)</f>
        <v>5</v>
      </c>
    </row>
    <row r="115" spans="1:7" x14ac:dyDescent="0.3">
      <c r="A115" t="str">
        <v>Baked Fennel</v>
      </c>
      <c r="B115">
        <f>VLOOKUP(A115,recipes_ws!$A$2:$G$12,7,FALSE)</f>
        <v>10</v>
      </c>
      <c r="C115" t="str">
        <v>Parmesan</v>
      </c>
      <c r="D115">
        <f>VLOOKUP(C115,ingredients_ws!$A$2:$D$84,4,FALSE)</f>
        <v>40</v>
      </c>
      <c r="E115">
        <v>25</v>
      </c>
      <c r="F115" t="str">
        <v>g</v>
      </c>
      <c r="G115">
        <f>VLOOKUP(F115,others!$D$2:$E$12,2,FALSE)</f>
        <v>1</v>
      </c>
    </row>
    <row r="116" spans="1:7" x14ac:dyDescent="0.3">
      <c r="A116" t="str">
        <v>Wild mushroom &amp; walnut soup</v>
      </c>
      <c r="B116">
        <f>VLOOKUP(A116,recipes_ws!$A$2:$G$12,7,FALSE)</f>
        <v>11</v>
      </c>
      <c r="C116" t="str">
        <v>dried mushroom</v>
      </c>
      <c r="D116">
        <f>VLOOKUP(C116,ingredients_ws!$A$2:$D$84,4,FALSE)</f>
        <v>75</v>
      </c>
      <c r="E116">
        <v>25</v>
      </c>
      <c r="F116" t="str">
        <v>g</v>
      </c>
      <c r="G116">
        <f>VLOOKUP(F116,others!$D$2:$E$12,2,FALSE)</f>
        <v>1</v>
      </c>
    </row>
    <row r="117" spans="1:7" x14ac:dyDescent="0.3">
      <c r="A117" t="str">
        <v>Wild mushroom &amp; walnut soup</v>
      </c>
      <c r="B117">
        <f>VLOOKUP(A117,recipes_ws!$A$2:$G$12,7,FALSE)</f>
        <v>11</v>
      </c>
      <c r="C117" t="str">
        <v>boiling water</v>
      </c>
      <c r="D117">
        <f>VLOOKUP(C117,ingredients_ws!$A$2:$D$84,4,FALSE)</f>
        <v>23</v>
      </c>
      <c r="E117">
        <v>275</v>
      </c>
      <c r="F117" t="str">
        <v>ml</v>
      </c>
      <c r="G117">
        <f>VLOOKUP(F117,others!$D$2:$E$12,2,FALSE)</f>
        <v>3</v>
      </c>
    </row>
    <row r="118" spans="1:7" x14ac:dyDescent="0.3">
      <c r="A118" t="str">
        <v>Wild mushroom &amp; walnut soup</v>
      </c>
      <c r="B118">
        <f>VLOOKUP(A118,recipes_ws!$A$2:$G$12,7,FALSE)</f>
        <v>11</v>
      </c>
      <c r="C118" t="str">
        <v>butter</v>
      </c>
      <c r="D118">
        <f>VLOOKUP(C118,ingredients_ws!$A$2:$D$84,4,FALSE)</f>
        <v>67</v>
      </c>
      <c r="E118">
        <v>75</v>
      </c>
      <c r="F118" t="str">
        <v>g</v>
      </c>
      <c r="G118">
        <f>VLOOKUP(F118,others!$D$2:$E$12,2,FALSE)</f>
        <v>1</v>
      </c>
    </row>
    <row r="119" spans="1:7" x14ac:dyDescent="0.3">
      <c r="A119" t="str">
        <v>Wild mushroom &amp; walnut soup</v>
      </c>
      <c r="B119">
        <f>VLOOKUP(A119,recipes_ws!$A$2:$G$12,7,FALSE)</f>
        <v>11</v>
      </c>
      <c r="C119" t="str">
        <v>mushroom</v>
      </c>
      <c r="D119">
        <f>VLOOKUP(C119,ingredients_ws!$A$2:$D$84,4,FALSE)</f>
        <v>76</v>
      </c>
      <c r="E119">
        <v>110</v>
      </c>
      <c r="F119" t="str">
        <v>g</v>
      </c>
      <c r="G119">
        <f>VLOOKUP(F119,others!$D$2:$E$12,2,FALSE)</f>
        <v>1</v>
      </c>
    </row>
    <row r="120" spans="1:7" x14ac:dyDescent="0.3">
      <c r="A120" t="str">
        <v>Wild mushroom &amp; walnut soup</v>
      </c>
      <c r="B120">
        <f>VLOOKUP(A120,recipes_ws!$A$2:$G$12,7,FALSE)</f>
        <v>11</v>
      </c>
      <c r="C120" t="str">
        <v>carrots</v>
      </c>
      <c r="D120">
        <f>VLOOKUP(C120,ingredients_ws!$A$2:$D$84,4,FALSE)</f>
        <v>9</v>
      </c>
      <c r="E120">
        <v>2</v>
      </c>
      <c r="F120" t="str">
        <v>each</v>
      </c>
      <c r="G120">
        <f>VLOOKUP(F120,others!$D$2:$E$12,2,FALSE)</f>
        <v>7</v>
      </c>
    </row>
    <row r="121" spans="1:7" x14ac:dyDescent="0.3">
      <c r="A121" t="str">
        <v>Wild mushroom &amp; walnut soup</v>
      </c>
      <c r="B121">
        <f>VLOOKUP(A121,recipes_ws!$A$2:$G$12,7,FALSE)</f>
        <v>11</v>
      </c>
      <c r="C121" t="str">
        <v xml:space="preserve">celery </v>
      </c>
      <c r="D121">
        <f>VLOOKUP(C121,ingredients_ws!$A$2:$D$84,4,FALSE)</f>
        <v>77</v>
      </c>
      <c r="E121">
        <v>2</v>
      </c>
      <c r="F121" t="str">
        <v>each</v>
      </c>
      <c r="G121">
        <f>VLOOKUP(F121,others!$D$2:$E$12,2,FALSE)</f>
        <v>7</v>
      </c>
    </row>
    <row r="122" spans="1:7" x14ac:dyDescent="0.3">
      <c r="A122" t="str">
        <v>Wild mushroom &amp; walnut soup</v>
      </c>
      <c r="B122">
        <f>VLOOKUP(A122,recipes_ws!$A$2:$G$12,7,FALSE)</f>
        <v>11</v>
      </c>
      <c r="C122" t="str">
        <v>onion</v>
      </c>
      <c r="D122">
        <f>VLOOKUP(C122,ingredients_ws!$A$2:$D$84,4,FALSE)</f>
        <v>1</v>
      </c>
      <c r="E122">
        <v>1</v>
      </c>
      <c r="F122" t="str">
        <v>each</v>
      </c>
      <c r="G122">
        <f>VLOOKUP(F122,others!$D$2:$E$12,2,FALSE)</f>
        <v>7</v>
      </c>
    </row>
    <row r="123" spans="1:7" x14ac:dyDescent="0.3">
      <c r="A123" t="str">
        <v>Wild mushroom &amp; walnut soup</v>
      </c>
      <c r="B123">
        <f>VLOOKUP(A123,recipes_ws!$A$2:$G$12,7,FALSE)</f>
        <v>11</v>
      </c>
      <c r="C123" t="str">
        <v>leek</v>
      </c>
      <c r="D123">
        <f>VLOOKUP(C123,ingredients_ws!$A$2:$D$84,4,FALSE)</f>
        <v>78</v>
      </c>
      <c r="E123">
        <v>1</v>
      </c>
      <c r="F123" t="str">
        <v>each</v>
      </c>
      <c r="G123">
        <f>VLOOKUP(F123,others!$D$2:$E$12,2,FALSE)</f>
        <v>7</v>
      </c>
    </row>
    <row r="124" spans="1:7" x14ac:dyDescent="0.3">
      <c r="A124" t="str">
        <v>Wild mushroom &amp; walnut soup</v>
      </c>
      <c r="B124">
        <f>VLOOKUP(A124,recipes_ws!$A$2:$G$12,7,FALSE)</f>
        <v>11</v>
      </c>
      <c r="C124" t="str">
        <v>bay leaves</v>
      </c>
      <c r="D124">
        <f>VLOOKUP(C124,ingredients_ws!$A$2:$D$84,4,FALSE)</f>
        <v>79</v>
      </c>
      <c r="E124">
        <v>2</v>
      </c>
      <c r="F124" t="str">
        <v>each</v>
      </c>
      <c r="G124">
        <f>VLOOKUP(F124,others!$D$2:$E$12,2,FALSE)</f>
        <v>7</v>
      </c>
    </row>
    <row r="125" spans="1:7" x14ac:dyDescent="0.3">
      <c r="A125" t="str">
        <v>Wild mushroom &amp; walnut soup</v>
      </c>
      <c r="B125">
        <f>VLOOKUP(A125,recipes_ws!$A$2:$G$12,7,FALSE)</f>
        <v>11</v>
      </c>
      <c r="C125" t="str">
        <v>thyme</v>
      </c>
      <c r="D125">
        <f>VLOOKUP(C125,ingredients_ws!$A$2:$D$84,4,FALSE)</f>
        <v>32</v>
      </c>
      <c r="E125">
        <v>10</v>
      </c>
      <c r="F125" t="str">
        <v>g</v>
      </c>
      <c r="G125">
        <f>VLOOKUP(F125,others!$D$2:$E$12,2,FALSE)</f>
        <v>1</v>
      </c>
    </row>
    <row r="126" spans="1:7" x14ac:dyDescent="0.3">
      <c r="A126" t="str">
        <v>Wild mushroom &amp; walnut soup</v>
      </c>
      <c r="B126">
        <f>VLOOKUP(A126,recipes_ws!$A$2:$G$12,7,FALSE)</f>
        <v>11</v>
      </c>
      <c r="C126" t="str">
        <v>garlic clove</v>
      </c>
      <c r="D126">
        <f>VLOOKUP(C126,ingredients_ws!$A$2:$D$84,4,FALSE)</f>
        <v>2</v>
      </c>
      <c r="E126">
        <v>2</v>
      </c>
      <c r="F126" t="str">
        <v>clove</v>
      </c>
      <c r="G126">
        <f>VLOOKUP(F126,others!$D$2:$E$12,2,FALSE)</f>
        <v>8</v>
      </c>
    </row>
    <row r="127" spans="1:7" x14ac:dyDescent="0.3">
      <c r="A127" t="str">
        <v>Wild mushroom &amp; walnut soup</v>
      </c>
      <c r="B127">
        <f>VLOOKUP(A127,recipes_ws!$A$2:$G$12,7,FALSE)</f>
        <v>11</v>
      </c>
      <c r="C127" t="str">
        <v>vegetable stock</v>
      </c>
      <c r="D127">
        <f>VLOOKUP(C127,ingredients_ws!$A$2:$D$84,4,FALSE)</f>
        <v>80</v>
      </c>
      <c r="E127">
        <v>2</v>
      </c>
      <c r="F127" t="str">
        <v>l</v>
      </c>
      <c r="G127">
        <f>VLOOKUP(F127,others!$D$2:$E$12,2,FALSE)</f>
        <v>4</v>
      </c>
    </row>
    <row r="128" spans="1:7" x14ac:dyDescent="0.3">
      <c r="A128" t="str">
        <v>Wild mushroom &amp; walnut soup</v>
      </c>
      <c r="B128">
        <f>VLOOKUP(A128,recipes_ws!$A$2:$G$12,7,FALSE)</f>
        <v>11</v>
      </c>
      <c r="C128" t="str">
        <v>small mushroom</v>
      </c>
      <c r="D128">
        <f>VLOOKUP(C128,ingredients_ws!$A$2:$D$84,4,FALSE)</f>
        <v>81</v>
      </c>
      <c r="E128">
        <v>225</v>
      </c>
      <c r="F128" t="str">
        <v>g</v>
      </c>
      <c r="G128">
        <f>VLOOKUP(F128,others!$D$2:$E$12,2,FALSE)</f>
        <v>1</v>
      </c>
    </row>
    <row r="129" spans="1:7" x14ac:dyDescent="0.3">
      <c r="A129" t="str">
        <v>Wild mushroom &amp; walnut soup</v>
      </c>
      <c r="B129">
        <f>VLOOKUP(A129,recipes_ws!$A$2:$G$12,7,FALSE)</f>
        <v>11</v>
      </c>
      <c r="C129" t="str">
        <v>walnut</v>
      </c>
      <c r="D129">
        <f>VLOOKUP(C129,ingredients_ws!$A$2:$D$84,4,FALSE)</f>
        <v>28</v>
      </c>
      <c r="E129">
        <v>110</v>
      </c>
      <c r="F129" t="str">
        <v>g</v>
      </c>
      <c r="G129">
        <f>VLOOKUP(F129,others!$D$2:$E$12,2,FALSE)</f>
        <v>1</v>
      </c>
    </row>
    <row r="130" spans="1:7" x14ac:dyDescent="0.3">
      <c r="A130" t="str">
        <v>Wild mushroom &amp; walnut soup</v>
      </c>
      <c r="B130">
        <f>VLOOKUP(A130,recipes_ws!$A$2:$G$12,7,FALSE)</f>
        <v>11</v>
      </c>
      <c r="C130" t="str">
        <v>single cream</v>
      </c>
      <c r="D130">
        <f>VLOOKUP(C130,ingredients_ws!$A$2:$D$84,4,FALSE)</f>
        <v>82</v>
      </c>
      <c r="E130">
        <v>75</v>
      </c>
      <c r="F130" t="str">
        <v>ml</v>
      </c>
      <c r="G130">
        <f>VLOOKUP(F130,others!$D$2:$E$12,2,FALSE)</f>
        <v>3</v>
      </c>
    </row>
    <row r="131" spans="1:7" x14ac:dyDescent="0.3">
      <c r="A131" t="str">
        <v>Wild mushroom &amp; walnut soup</v>
      </c>
      <c r="B131">
        <f>VLOOKUP(A131,recipes_ws!$A$2:$G$12,7,FALSE)</f>
        <v>11</v>
      </c>
      <c r="C131" t="str">
        <v>dry sherry</v>
      </c>
      <c r="D131">
        <f>VLOOKUP(C131,ingredients_ws!$A$2:$D$84,4,FALSE)</f>
        <v>83</v>
      </c>
      <c r="E131">
        <v>75</v>
      </c>
      <c r="F131" t="str">
        <v>ml</v>
      </c>
      <c r="G131">
        <f>VLOOKUP(F131,others!$D$2:$E$12,2,FALSE)</f>
        <v>3</v>
      </c>
    </row>
    <row r="132" spans="1:7" x14ac:dyDescent="0.3">
      <c r="A132" t="str">
        <v>Wild mushroom &amp; walnut soup</v>
      </c>
      <c r="B132">
        <f>VLOOKUP(A132,recipes_ws!$A$2:$G$12,7,FALSE)</f>
        <v>11</v>
      </c>
      <c r="C132" t="str">
        <v>lemon juice</v>
      </c>
      <c r="D132">
        <f>VLOOKUP(C132,ingredients_ws!$A$2:$D$84,4,FALSE)</f>
        <v>20</v>
      </c>
      <c r="E132">
        <v>10</v>
      </c>
      <c r="F132" t="str">
        <v>ml</v>
      </c>
      <c r="G132">
        <f>VLOOKUP(F132,others!$D$2:$E$12,2,FALSE)</f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27A49-FE4D-4029-82F0-1D935464B18A}">
  <dimension ref="A1:F84"/>
  <sheetViews>
    <sheetView workbookViewId="0">
      <selection activeCell="H41" sqref="H41"/>
    </sheetView>
  </sheetViews>
  <sheetFormatPr defaultRowHeight="14.4" x14ac:dyDescent="0.3"/>
  <cols>
    <col min="1" max="1" width="19.88671875" bestFit="1" customWidth="1"/>
    <col min="2" max="2" width="14.109375" bestFit="1" customWidth="1"/>
    <col min="3" max="3" width="12.44140625" bestFit="1" customWidth="1"/>
  </cols>
  <sheetData>
    <row r="1" spans="1:6" x14ac:dyDescent="0.3">
      <c r="A1" t="s">
        <v>161</v>
      </c>
      <c r="B1" s="8" t="s">
        <v>165</v>
      </c>
      <c r="C1" t="s">
        <v>168</v>
      </c>
      <c r="D1" t="s">
        <v>169</v>
      </c>
      <c r="E1" t="s">
        <v>143</v>
      </c>
      <c r="F1" t="s">
        <v>170</v>
      </c>
    </row>
    <row r="2" spans="1:6" x14ac:dyDescent="0.3">
      <c r="A2" t="str" cm="1">
        <f t="array" ref="A2:A84">_xlfn.ANCHORARRAY(ingredients_ws!A2)</f>
        <v>onion</v>
      </c>
      <c r="B2">
        <f>VLOOKUP(A2,ingredients_ws!$A$2:$D$84,4,FALSE)</f>
        <v>1</v>
      </c>
      <c r="C2">
        <f>SUM(VLOOKUP(A2,recipes_ingredients_ws!C2:E1324,3,FALSE))</f>
        <v>1</v>
      </c>
      <c r="D2" t="str" cm="1">
        <f t="array" ref="D2">_xlfn.UNIQUE(VLOOKUP(A2,recipes_ingredients_ws!$C$2:$F$132,4,FALSE))</f>
        <v>each</v>
      </c>
      <c r="E2">
        <f>VLOOKUP(D2,others!$D$2:$E$12,2,FALSE)</f>
        <v>7</v>
      </c>
      <c r="F2">
        <v>1</v>
      </c>
    </row>
    <row r="3" spans="1:6" x14ac:dyDescent="0.3">
      <c r="A3" t="str">
        <v>garlic clove</v>
      </c>
      <c r="B3">
        <f>VLOOKUP(A3,ingredients_ws!$A$2:$D$84,4,FALSE)</f>
        <v>2</v>
      </c>
      <c r="C3">
        <f>SUM(VLOOKUP(A3,recipes_ingredients_ws!C3:E1325,3,FALSE))</f>
        <v>6</v>
      </c>
      <c r="D3" t="str" cm="1">
        <f t="array" ref="D3">_xlfn.UNIQUE(VLOOKUP(A3,recipes_ingredients_ws!$C$2:$F$132,4,FALSE))</f>
        <v>clove</v>
      </c>
      <c r="E3">
        <f>VLOOKUP(D3,others!$D$2:$E$12,2,FALSE)</f>
        <v>8</v>
      </c>
      <c r="F3">
        <v>1</v>
      </c>
    </row>
    <row r="4" spans="1:6" x14ac:dyDescent="0.3">
      <c r="A4" t="str">
        <v>coriander</v>
      </c>
      <c r="B4">
        <f>VLOOKUP(A4,ingredients_ws!$A$2:$D$84,4,FALSE)</f>
        <v>3</v>
      </c>
      <c r="C4">
        <f>SUM(VLOOKUP(A4,recipes_ingredients_ws!C4:E1326,3,FALSE))</f>
        <v>45</v>
      </c>
      <c r="D4" t="str" cm="1">
        <f t="array" ref="D4">_xlfn.UNIQUE(VLOOKUP(A4,recipes_ingredients_ws!$C$2:$F$132,4,FALSE))</f>
        <v>g</v>
      </c>
      <c r="E4">
        <f>VLOOKUP(D4,others!$D$2:$E$12,2,FALSE)</f>
        <v>1</v>
      </c>
      <c r="F4">
        <v>1</v>
      </c>
    </row>
    <row r="5" spans="1:6" x14ac:dyDescent="0.3">
      <c r="A5" t="str">
        <v>berbere spice</v>
      </c>
      <c r="B5">
        <f>VLOOKUP(A5,ingredients_ws!$A$2:$D$84,4,FALSE)</f>
        <v>4</v>
      </c>
      <c r="C5">
        <f>SUM(VLOOKUP(A5,recipes_ingredients_ws!C5:E1327,3,FALSE))</f>
        <v>2.5</v>
      </c>
      <c r="D5" t="str" cm="1">
        <f t="array" ref="D5">_xlfn.UNIQUE(VLOOKUP(A5,recipes_ingredients_ws!$C$2:$F$132,4,FALSE))</f>
        <v>tbsp</v>
      </c>
      <c r="E5">
        <f>VLOOKUP(D5,others!$D$2:$E$12,2,FALSE)</f>
        <v>6</v>
      </c>
      <c r="F5">
        <v>1</v>
      </c>
    </row>
    <row r="6" spans="1:6" x14ac:dyDescent="0.3">
      <c r="A6" t="str">
        <v>tomato paste</v>
      </c>
      <c r="B6">
        <f>VLOOKUP(A6,ingredients_ws!$A$2:$D$84,4,FALSE)</f>
        <v>5</v>
      </c>
      <c r="C6">
        <f>SUM(VLOOKUP(A6,recipes_ingredients_ws!C6:E1328,3,FALSE))</f>
        <v>2</v>
      </c>
      <c r="D6" t="str" cm="1">
        <f t="array" ref="D6">_xlfn.UNIQUE(VLOOKUP(A6,recipes_ingredients_ws!$C$2:$F$132,4,FALSE))</f>
        <v>tbsp</v>
      </c>
      <c r="E6">
        <f>VLOOKUP(D6,others!$D$2:$E$12,2,FALSE)</f>
        <v>6</v>
      </c>
      <c r="F6">
        <v>1</v>
      </c>
    </row>
    <row r="7" spans="1:6" x14ac:dyDescent="0.3">
      <c r="A7" t="str">
        <v>honey</v>
      </c>
      <c r="B7">
        <f>VLOOKUP(A7,ingredients_ws!$A$2:$D$84,4,FALSE)</f>
        <v>6</v>
      </c>
      <c r="C7">
        <f>SUM(VLOOKUP(A7,recipes_ingredients_ws!C7:E1329,3,FALSE))</f>
        <v>2.5</v>
      </c>
      <c r="D7" t="str" cm="1">
        <f t="array" ref="D7">_xlfn.UNIQUE(VLOOKUP(A7,recipes_ingredients_ws!$C$2:$F$132,4,FALSE))</f>
        <v>tbsp</v>
      </c>
      <c r="E7">
        <f>VLOOKUP(D7,others!$D$2:$E$12,2,FALSE)</f>
        <v>6</v>
      </c>
      <c r="F7">
        <v>1</v>
      </c>
    </row>
    <row r="8" spans="1:6" x14ac:dyDescent="0.3">
      <c r="A8" t="str">
        <v>apple cider vinegar</v>
      </c>
      <c r="B8">
        <f>VLOOKUP(A8,ingredients_ws!$A$2:$D$84,4,FALSE)</f>
        <v>7</v>
      </c>
      <c r="C8">
        <f>SUM(VLOOKUP(A8,recipes_ingredients_ws!C8:E1330,3,FALSE))</f>
        <v>3</v>
      </c>
      <c r="D8" t="str" cm="1">
        <f t="array" ref="D8">_xlfn.UNIQUE(VLOOKUP(A8,recipes_ingredients_ws!$C$2:$F$132,4,FALSE))</f>
        <v>tbsp</v>
      </c>
      <c r="E8">
        <f>VLOOKUP(D8,others!$D$2:$E$12,2,FALSE)</f>
        <v>6</v>
      </c>
      <c r="F8">
        <v>1</v>
      </c>
    </row>
    <row r="9" spans="1:6" x14ac:dyDescent="0.3">
      <c r="A9" t="str">
        <v>olive oil</v>
      </c>
      <c r="B9">
        <f>VLOOKUP(A9,ingredients_ws!$A$2:$D$84,4,FALSE)</f>
        <v>8</v>
      </c>
      <c r="C9">
        <f>SUM(VLOOKUP(A9,recipes_ingredients_ws!C9:E1331,3,FALSE))</f>
        <v>90</v>
      </c>
      <c r="D9" t="str" cm="1">
        <f t="array" ref="D9">_xlfn.UNIQUE(VLOOKUP(A9,recipes_ingredients_ws!$C$2:$F$132,4,FALSE))</f>
        <v>ml</v>
      </c>
      <c r="E9">
        <f>VLOOKUP(D9,others!$D$2:$E$12,2,FALSE)</f>
        <v>3</v>
      </c>
      <c r="F9">
        <v>1</v>
      </c>
    </row>
    <row r="10" spans="1:6" x14ac:dyDescent="0.3">
      <c r="A10" t="str">
        <v>carrots</v>
      </c>
      <c r="B10">
        <f>VLOOKUP(A10,ingredients_ws!$A$2:$D$84,4,FALSE)</f>
        <v>9</v>
      </c>
      <c r="C10">
        <f>SUM(VLOOKUP(A10,recipes_ingredients_ws!C10:E1332,3,FALSE))</f>
        <v>800</v>
      </c>
      <c r="D10" t="str" cm="1">
        <f t="array" ref="D10">_xlfn.UNIQUE(VLOOKUP(A10,recipes_ingredients_ws!$C$2:$F$132,4,FALSE))</f>
        <v>g</v>
      </c>
      <c r="E10">
        <f>VLOOKUP(D10,others!$D$2:$E$12,2,FALSE)</f>
        <v>1</v>
      </c>
      <c r="F10">
        <v>1</v>
      </c>
    </row>
    <row r="11" spans="1:6" x14ac:dyDescent="0.3">
      <c r="A11" t="str">
        <v>tinned chickpeas</v>
      </c>
      <c r="B11">
        <f>VLOOKUP(A11,ingredients_ws!$A$2:$D$84,4,FALSE)</f>
        <v>10</v>
      </c>
      <c r="C11">
        <f>SUM(VLOOKUP(A11,recipes_ingredients_ws!C11:E1333,3,FALSE))</f>
        <v>2</v>
      </c>
      <c r="D11" t="str" cm="1">
        <f t="array" ref="D11">_xlfn.UNIQUE(VLOOKUP(A11,recipes_ingredients_ws!$C$2:$F$132,4,FALSE))</f>
        <v>tin</v>
      </c>
      <c r="E11">
        <f>VLOOKUP(D11,others!$D$2:$E$12,2,FALSE)</f>
        <v>10</v>
      </c>
      <c r="F11">
        <v>1</v>
      </c>
    </row>
    <row r="12" spans="1:6" x14ac:dyDescent="0.3">
      <c r="A12" t="str">
        <v>chicken thigh</v>
      </c>
      <c r="B12">
        <f>VLOOKUP(A12,ingredients_ws!$A$2:$D$84,4,FALSE)</f>
        <v>11</v>
      </c>
      <c r="C12">
        <f>SUM(VLOOKUP(A12,recipes_ingredients_ws!C12:E1334,3,FALSE))</f>
        <v>8</v>
      </c>
      <c r="D12" t="str" cm="1">
        <f t="array" ref="D12">_xlfn.UNIQUE(VLOOKUP(A12,recipes_ingredients_ws!$C$2:$F$132,4,FALSE))</f>
        <v>piece</v>
      </c>
      <c r="E12">
        <f>VLOOKUP(D12,others!$D$2:$E$12,2,FALSE)</f>
        <v>9</v>
      </c>
      <c r="F12">
        <v>1</v>
      </c>
    </row>
    <row r="13" spans="1:6" x14ac:dyDescent="0.3">
      <c r="A13" t="str">
        <v>oranges</v>
      </c>
      <c r="B13">
        <f>VLOOKUP(A13,ingredients_ws!$A$2:$D$84,4,FALSE)</f>
        <v>12</v>
      </c>
      <c r="C13">
        <f>SUM(VLOOKUP(A13,recipes_ingredients_ws!C13:E1335,3,FALSE))</f>
        <v>3</v>
      </c>
      <c r="D13" t="str" cm="1">
        <f t="array" ref="D13">_xlfn.UNIQUE(VLOOKUP(A13,recipes_ingredients_ws!$C$2:$F$132,4,FALSE))</f>
        <v>each</v>
      </c>
      <c r="E13">
        <f>VLOOKUP(D13,others!$D$2:$E$12,2,FALSE)</f>
        <v>7</v>
      </c>
      <c r="F13">
        <v>1</v>
      </c>
    </row>
    <row r="14" spans="1:6" x14ac:dyDescent="0.3">
      <c r="A14" t="str">
        <v>salt</v>
      </c>
      <c r="B14">
        <f>VLOOKUP(A14,ingredients_ws!$A$2:$D$84,4,FALSE)</f>
        <v>13</v>
      </c>
      <c r="C14">
        <f>SUM(VLOOKUP(A14,recipes_ingredients_ws!C14:E1336,3,FALSE))</f>
        <v>0.1</v>
      </c>
      <c r="D14" t="str" cm="1">
        <f t="array" ref="D14">_xlfn.UNIQUE(VLOOKUP(A14,recipes_ingredients_ws!$C$2:$F$132,4,FALSE))</f>
        <v>tsp</v>
      </c>
      <c r="E14">
        <f>VLOOKUP(D14,others!$D$2:$E$12,2,FALSE)</f>
        <v>5</v>
      </c>
      <c r="F14">
        <v>1</v>
      </c>
    </row>
    <row r="15" spans="1:6" x14ac:dyDescent="0.3">
      <c r="A15" t="str">
        <v>black pepper</v>
      </c>
      <c r="B15">
        <f>VLOOKUP(A15,ingredients_ws!$A$2:$D$84,4,FALSE)</f>
        <v>14</v>
      </c>
      <c r="C15">
        <f>SUM(VLOOKUP(A15,recipes_ingredients_ws!C15:E1337,3,FALSE))</f>
        <v>0.1</v>
      </c>
      <c r="D15" t="str" cm="1">
        <f t="array" ref="D15">_xlfn.UNIQUE(VLOOKUP(A15,recipes_ingredients_ws!$C$2:$F$132,4,FALSE))</f>
        <v>tsp</v>
      </c>
      <c r="E15">
        <f>VLOOKUP(D15,others!$D$2:$E$12,2,FALSE)</f>
        <v>5</v>
      </c>
      <c r="F15">
        <v>1</v>
      </c>
    </row>
    <row r="16" spans="1:6" x14ac:dyDescent="0.3">
      <c r="A16" t="str">
        <v>salmon fillet</v>
      </c>
      <c r="B16">
        <f>VLOOKUP(A16,ingredients_ws!$A$2:$D$84,4,FALSE)</f>
        <v>15</v>
      </c>
      <c r="C16">
        <f>SUM(VLOOKUP(A16,recipes_ingredients_ws!C16:E1338,3,FALSE))</f>
        <v>4</v>
      </c>
      <c r="D16" t="str" cm="1">
        <f t="array" ref="D16">_xlfn.UNIQUE(VLOOKUP(A16,recipes_ingredients_ws!$C$2:$F$132,4,FALSE))</f>
        <v>piece</v>
      </c>
      <c r="E16">
        <f>VLOOKUP(D16,others!$D$2:$E$12,2,FALSE)</f>
        <v>9</v>
      </c>
      <c r="F16">
        <v>1</v>
      </c>
    </row>
    <row r="17" spans="1:6" x14ac:dyDescent="0.3">
      <c r="A17" t="str">
        <v>zaatar</v>
      </c>
      <c r="B17">
        <f>VLOOKUP(A17,ingredients_ws!$A$2:$D$84,4,FALSE)</f>
        <v>16</v>
      </c>
      <c r="C17">
        <f>SUM(VLOOKUP(A17,recipes_ingredients_ws!C17:E1339,3,FALSE))</f>
        <v>15</v>
      </c>
      <c r="D17" t="str" cm="1">
        <f t="array" ref="D17">_xlfn.UNIQUE(VLOOKUP(A17,recipes_ingredients_ws!$C$2:$F$132,4,FALSE))</f>
        <v>g</v>
      </c>
      <c r="E17">
        <f>VLOOKUP(D17,others!$D$2:$E$12,2,FALSE)</f>
        <v>1</v>
      </c>
      <c r="F17">
        <v>1</v>
      </c>
    </row>
    <row r="18" spans="1:6" x14ac:dyDescent="0.3">
      <c r="A18" t="str">
        <v>sumac</v>
      </c>
      <c r="B18">
        <f>VLOOKUP(A18,ingredients_ws!$A$2:$D$84,4,FALSE)</f>
        <v>17</v>
      </c>
      <c r="C18">
        <f>SUM(VLOOKUP(A18,recipes_ingredients_ws!C18:E1340,3,FALSE))</f>
        <v>10</v>
      </c>
      <c r="D18" t="str" cm="1">
        <f t="array" ref="D18">_xlfn.UNIQUE(VLOOKUP(A18,recipes_ingredients_ws!$C$2:$F$132,4,FALSE))</f>
        <v>g</v>
      </c>
      <c r="E18">
        <f>VLOOKUP(D18,others!$D$2:$E$12,2,FALSE)</f>
        <v>1</v>
      </c>
      <c r="F18">
        <v>1</v>
      </c>
    </row>
    <row r="19" spans="1:6" x14ac:dyDescent="0.3">
      <c r="A19" t="str">
        <v>baby spinach</v>
      </c>
      <c r="B19">
        <f>VLOOKUP(A19,ingredients_ws!$A$2:$D$84,4,FALSE)</f>
        <v>18</v>
      </c>
      <c r="C19">
        <f>SUM(VLOOKUP(A19,recipes_ingredients_ws!C19:E1341,3,FALSE))</f>
        <v>250</v>
      </c>
      <c r="D19" t="str" cm="1">
        <f t="array" ref="D19">_xlfn.UNIQUE(VLOOKUP(A19,recipes_ingredients_ws!$C$2:$F$132,4,FALSE))</f>
        <v>g</v>
      </c>
      <c r="E19">
        <f>VLOOKUP(D19,others!$D$2:$E$12,2,FALSE)</f>
        <v>1</v>
      </c>
      <c r="F19">
        <v>1</v>
      </c>
    </row>
    <row r="20" spans="1:6" x14ac:dyDescent="0.3">
      <c r="A20" t="str">
        <v>tahini</v>
      </c>
      <c r="B20">
        <f>VLOOKUP(A20,ingredients_ws!$A$2:$D$84,4,FALSE)</f>
        <v>19</v>
      </c>
      <c r="C20">
        <f>SUM(VLOOKUP(A20,recipes_ingredients_ws!C20:E1342,3,FALSE))</f>
        <v>90</v>
      </c>
      <c r="D20" t="str" cm="1">
        <f t="array" ref="D20">_xlfn.UNIQUE(VLOOKUP(A20,recipes_ingredients_ws!$C$2:$F$132,4,FALSE))</f>
        <v>g</v>
      </c>
      <c r="E20">
        <f>VLOOKUP(D20,others!$D$2:$E$12,2,FALSE)</f>
        <v>1</v>
      </c>
      <c r="F20">
        <v>1</v>
      </c>
    </row>
    <row r="21" spans="1:6" x14ac:dyDescent="0.3">
      <c r="A21" t="str">
        <v>lemon juice</v>
      </c>
      <c r="B21">
        <f>VLOOKUP(A21,ingredients_ws!$A$2:$D$84,4,FALSE)</f>
        <v>20</v>
      </c>
      <c r="C21">
        <f>SUM(VLOOKUP(A21,recipes_ingredients_ws!C21:E1343,3,FALSE))</f>
        <v>3.5</v>
      </c>
      <c r="D21" t="str" cm="1">
        <f t="array" ref="D21">_xlfn.UNIQUE(VLOOKUP(A21,recipes_ingredients_ws!$C$2:$F$132,4,FALSE))</f>
        <v>tbsp</v>
      </c>
      <c r="E21">
        <f>VLOOKUP(D21,others!$D$2:$E$12,2,FALSE)</f>
        <v>6</v>
      </c>
      <c r="F21">
        <v>1</v>
      </c>
    </row>
    <row r="22" spans="1:6" x14ac:dyDescent="0.3">
      <c r="A22" t="str">
        <v>basmati rice</v>
      </c>
      <c r="B22">
        <f>VLOOKUP(A22,ingredients_ws!$A$2:$D$84,4,FALSE)</f>
        <v>21</v>
      </c>
      <c r="C22">
        <f>SUM(VLOOKUP(A22,recipes_ingredients_ws!C22:E1344,3,FALSE))</f>
        <v>400</v>
      </c>
      <c r="D22" t="str" cm="1">
        <f t="array" ref="D22">_xlfn.UNIQUE(VLOOKUP(A22,recipes_ingredients_ws!$C$2:$F$132,4,FALSE))</f>
        <v>g</v>
      </c>
      <c r="E22">
        <f>VLOOKUP(D22,others!$D$2:$E$12,2,FALSE)</f>
        <v>1</v>
      </c>
      <c r="F22">
        <v>1</v>
      </c>
    </row>
    <row r="23" spans="1:6" x14ac:dyDescent="0.3">
      <c r="A23" t="str">
        <v>unsalted butter</v>
      </c>
      <c r="B23">
        <f>VLOOKUP(A23,ingredients_ws!$A$2:$D$84,4,FALSE)</f>
        <v>22</v>
      </c>
      <c r="C23">
        <f>SUM(VLOOKUP(A23,recipes_ingredients_ws!C23:E1345,3,FALSE))</f>
        <v>50</v>
      </c>
      <c r="D23" t="str" cm="1">
        <f t="array" ref="D23">_xlfn.UNIQUE(VLOOKUP(A23,recipes_ingredients_ws!$C$2:$F$132,4,FALSE))</f>
        <v>g</v>
      </c>
      <c r="E23">
        <f>VLOOKUP(D23,others!$D$2:$E$12,2,FALSE)</f>
        <v>1</v>
      </c>
      <c r="F23">
        <v>1</v>
      </c>
    </row>
    <row r="24" spans="1:6" x14ac:dyDescent="0.3">
      <c r="A24" t="str">
        <v>boiling water</v>
      </c>
      <c r="B24">
        <f>VLOOKUP(A24,ingredients_ws!$A$2:$D$84,4,FALSE)</f>
        <v>23</v>
      </c>
      <c r="C24">
        <f>SUM(VLOOKUP(A24,recipes_ingredients_ws!C24:E1346,3,FALSE))</f>
        <v>800</v>
      </c>
      <c r="D24" t="str" cm="1">
        <f t="array" ref="D24">_xlfn.UNIQUE(VLOOKUP(A24,recipes_ingredients_ws!$C$2:$F$132,4,FALSE))</f>
        <v>ml</v>
      </c>
      <c r="E24">
        <f>VLOOKUP(D24,others!$D$2:$E$12,2,FALSE)</f>
        <v>3</v>
      </c>
      <c r="F24">
        <v>1</v>
      </c>
    </row>
    <row r="25" spans="1:6" x14ac:dyDescent="0.3">
      <c r="A25" t="str">
        <v>mint</v>
      </c>
      <c r="B25">
        <f>VLOOKUP(A25,ingredients_ws!$A$2:$D$84,4,FALSE)</f>
        <v>24</v>
      </c>
      <c r="C25">
        <f>SUM(VLOOKUP(A25,recipes_ingredients_ws!C25:E1347,3,FALSE))</f>
        <v>50</v>
      </c>
      <c r="D25" t="str" cm="1">
        <f t="array" ref="D25">_xlfn.UNIQUE(VLOOKUP(A25,recipes_ingredients_ws!$C$2:$F$132,4,FALSE))</f>
        <v>g</v>
      </c>
      <c r="E25">
        <f>VLOOKUP(D25,others!$D$2:$E$12,2,FALSE)</f>
        <v>1</v>
      </c>
      <c r="F25">
        <v>1</v>
      </c>
    </row>
    <row r="26" spans="1:6" x14ac:dyDescent="0.3">
      <c r="A26" t="str">
        <v>feta</v>
      </c>
      <c r="B26">
        <f>VLOOKUP(A26,ingredients_ws!$A$2:$D$84,4,FALSE)</f>
        <v>25</v>
      </c>
      <c r="C26">
        <f>SUM(VLOOKUP(A26,recipes_ingredients_ws!C26:E1348,3,FALSE))</f>
        <v>150</v>
      </c>
      <c r="D26" t="str" cm="1">
        <f t="array" ref="D26">_xlfn.UNIQUE(VLOOKUP(A26,recipes_ingredients_ws!$C$2:$F$132,4,FALSE))</f>
        <v>g</v>
      </c>
      <c r="E26">
        <f>VLOOKUP(D26,others!$D$2:$E$12,2,FALSE)</f>
        <v>1</v>
      </c>
      <c r="F26">
        <v>0</v>
      </c>
    </row>
    <row r="27" spans="1:6" x14ac:dyDescent="0.3">
      <c r="A27" t="str">
        <v>pitted green olives</v>
      </c>
      <c r="B27">
        <f>VLOOKUP(A27,ingredients_ws!$A$2:$D$84,4,FALSE)</f>
        <v>26</v>
      </c>
      <c r="C27">
        <f>SUM(VLOOKUP(A27,recipes_ingredients_ws!C27:E1349,3,FALSE))</f>
        <v>40</v>
      </c>
      <c r="D27" t="str" cm="1">
        <f t="array" ref="D27">_xlfn.UNIQUE(VLOOKUP(A27,recipes_ingredients_ws!$C$2:$F$132,4,FALSE))</f>
        <v>g</v>
      </c>
      <c r="E27">
        <f>VLOOKUP(D27,others!$D$2:$E$12,2,FALSE)</f>
        <v>1</v>
      </c>
      <c r="F27">
        <v>1</v>
      </c>
    </row>
    <row r="28" spans="1:6" x14ac:dyDescent="0.3">
      <c r="A28" t="str">
        <v>pomegranate seeds</v>
      </c>
      <c r="B28">
        <f>VLOOKUP(A28,ingredients_ws!$A$2:$D$84,4,FALSE)</f>
        <v>27</v>
      </c>
      <c r="C28">
        <f>SUM(VLOOKUP(A28,recipes_ingredients_ws!C28:E1350,3,FALSE))</f>
        <v>90</v>
      </c>
      <c r="D28" t="str" cm="1">
        <f t="array" ref="D28">_xlfn.UNIQUE(VLOOKUP(A28,recipes_ingredients_ws!$C$2:$F$132,4,FALSE))</f>
        <v>g</v>
      </c>
      <c r="E28">
        <f>VLOOKUP(D28,others!$D$2:$E$12,2,FALSE)</f>
        <v>1</v>
      </c>
      <c r="F28">
        <v>1</v>
      </c>
    </row>
    <row r="29" spans="1:6" x14ac:dyDescent="0.3">
      <c r="A29" t="str">
        <v>walnut</v>
      </c>
      <c r="B29">
        <f>VLOOKUP(A29,ingredients_ws!$A$2:$D$84,4,FALSE)</f>
        <v>28</v>
      </c>
      <c r="C29">
        <f>SUM(VLOOKUP(A29,recipes_ingredients_ws!C29:E1351,3,FALSE))</f>
        <v>50</v>
      </c>
      <c r="D29" t="str" cm="1">
        <f t="array" ref="D29">_xlfn.UNIQUE(VLOOKUP(A29,recipes_ingredients_ws!$C$2:$F$132,4,FALSE))</f>
        <v>g</v>
      </c>
      <c r="E29">
        <f>VLOOKUP(D29,others!$D$2:$E$12,2,FALSE)</f>
        <v>1</v>
      </c>
      <c r="F29">
        <v>1</v>
      </c>
    </row>
    <row r="30" spans="1:6" x14ac:dyDescent="0.3">
      <c r="A30" t="str">
        <v>pomegranate molasses</v>
      </c>
      <c r="B30">
        <f>VLOOKUP(A30,ingredients_ws!$A$2:$D$84,4,FALSE)</f>
        <v>29</v>
      </c>
      <c r="C30">
        <f>SUM(VLOOKUP(A30,recipes_ingredients_ws!C30:E1352,3,FALSE))</f>
        <v>1</v>
      </c>
      <c r="D30" t="str" cm="1">
        <f t="array" ref="D30">_xlfn.UNIQUE(VLOOKUP(A30,recipes_ingredients_ws!$C$2:$F$132,4,FALSE))</f>
        <v>tbsp</v>
      </c>
      <c r="E30">
        <f>VLOOKUP(D30,others!$D$2:$E$12,2,FALSE)</f>
        <v>6</v>
      </c>
      <c r="F30">
        <v>1</v>
      </c>
    </row>
    <row r="31" spans="1:6" x14ac:dyDescent="0.3">
      <c r="A31" t="str">
        <v>cherry tomato</v>
      </c>
      <c r="B31">
        <f>VLOOKUP(A31,ingredients_ws!$A$2:$D$84,4,FALSE)</f>
        <v>30</v>
      </c>
      <c r="C31">
        <f>SUM(VLOOKUP(A31,recipes_ingredients_ws!C31:E1353,3,FALSE))</f>
        <v>800</v>
      </c>
      <c r="D31" t="str" cm="1">
        <f t="array" ref="D31">_xlfn.UNIQUE(VLOOKUP(A31,recipes_ingredients_ws!$C$2:$F$132,4,FALSE))</f>
        <v>g</v>
      </c>
      <c r="E31">
        <f>VLOOKUP(D31,others!$D$2:$E$12,2,FALSE)</f>
        <v>1</v>
      </c>
      <c r="F31">
        <v>1</v>
      </c>
    </row>
    <row r="32" spans="1:6" x14ac:dyDescent="0.3">
      <c r="A32" t="str">
        <v>shallots</v>
      </c>
      <c r="B32">
        <f>VLOOKUP(A32,ingredients_ws!$A$2:$D$84,4,FALSE)</f>
        <v>31</v>
      </c>
      <c r="C32">
        <f>SUM(VLOOKUP(A32,recipes_ingredients_ws!C32:E1354,3,FALSE))</f>
        <v>220</v>
      </c>
      <c r="D32" t="str" cm="1">
        <f t="array" ref="D32">_xlfn.UNIQUE(VLOOKUP(A32,recipes_ingredients_ws!$C$2:$F$132,4,FALSE))</f>
        <v>g</v>
      </c>
      <c r="E32">
        <f>VLOOKUP(D32,others!$D$2:$E$12,2,FALSE)</f>
        <v>1</v>
      </c>
      <c r="F32">
        <v>1</v>
      </c>
    </row>
    <row r="33" spans="1:6" x14ac:dyDescent="0.3">
      <c r="A33" t="str">
        <v>thyme</v>
      </c>
      <c r="B33">
        <f>VLOOKUP(A33,ingredients_ws!$A$2:$D$84,4,FALSE)</f>
        <v>32</v>
      </c>
      <c r="C33">
        <f>SUM(VLOOKUP(A33,recipes_ingredients_ws!C33:E1355,3,FALSE))</f>
        <v>20</v>
      </c>
      <c r="D33" t="str" cm="1">
        <f t="array" ref="D33">_xlfn.UNIQUE(VLOOKUP(A33,recipes_ingredients_ws!$C$2:$F$132,4,FALSE))</f>
        <v>g</v>
      </c>
      <c r="E33">
        <f>VLOOKUP(D33,others!$D$2:$E$12,2,FALSE)</f>
        <v>1</v>
      </c>
      <c r="F33">
        <v>1</v>
      </c>
    </row>
    <row r="34" spans="1:6" x14ac:dyDescent="0.3">
      <c r="A34" t="str">
        <v>cinnamon stick</v>
      </c>
      <c r="B34">
        <f>VLOOKUP(A34,ingredients_ws!$A$2:$D$84,4,FALSE)</f>
        <v>33</v>
      </c>
      <c r="C34">
        <f>SUM(VLOOKUP(A34,recipes_ingredients_ws!C34:E1356,3,FALSE))</f>
        <v>4</v>
      </c>
      <c r="D34" t="str" cm="1">
        <f t="array" ref="D34">_xlfn.UNIQUE(VLOOKUP(A34,recipes_ingredients_ws!$C$2:$F$132,4,FALSE))</f>
        <v>each</v>
      </c>
      <c r="E34">
        <f>VLOOKUP(D34,others!$D$2:$E$12,2,FALSE)</f>
        <v>7</v>
      </c>
      <c r="F34">
        <v>1</v>
      </c>
    </row>
    <row r="35" spans="1:6" x14ac:dyDescent="0.3">
      <c r="A35" t="str">
        <v>potato</v>
      </c>
      <c r="B35">
        <f>VLOOKUP(A35,ingredients_ws!$A$2:$D$84,4,FALSE)</f>
        <v>34</v>
      </c>
      <c r="C35">
        <f>SUM(VLOOKUP(A35,recipes_ingredients_ws!C35:E1357,3,FALSE))</f>
        <v>1</v>
      </c>
      <c r="D35" t="str" cm="1">
        <f t="array" ref="D35">_xlfn.UNIQUE(VLOOKUP(A35,recipes_ingredients_ws!$C$2:$F$132,4,FALSE))</f>
        <v>kg</v>
      </c>
      <c r="E35">
        <f>VLOOKUP(D35,others!$D$2:$E$12,2,FALSE)</f>
        <v>2</v>
      </c>
      <c r="F35">
        <v>1</v>
      </c>
    </row>
    <row r="36" spans="1:6" x14ac:dyDescent="0.3">
      <c r="A36" t="str">
        <v>flaked salt</v>
      </c>
      <c r="B36">
        <f>VLOOKUP(A36,ingredients_ws!$A$2:$D$84,4,FALSE)</f>
        <v>35</v>
      </c>
      <c r="C36">
        <f>SUM(VLOOKUP(A36,recipes_ingredients_ws!C36:E1358,3,FALSE))</f>
        <v>2</v>
      </c>
      <c r="D36" t="str" cm="1">
        <f t="array" ref="D36">_xlfn.UNIQUE(VLOOKUP(A36,recipes_ingredients_ws!$C$2:$F$132,4,FALSE))</f>
        <v>tsp</v>
      </c>
      <c r="E36">
        <f>VLOOKUP(D36,others!$D$2:$E$12,2,FALSE)</f>
        <v>5</v>
      </c>
      <c r="F36">
        <v>1</v>
      </c>
    </row>
    <row r="37" spans="1:6" x14ac:dyDescent="0.3">
      <c r="A37" t="str">
        <v>tinned tuna</v>
      </c>
      <c r="B37">
        <f>VLOOKUP(A37,ingredients_ws!$A$2:$D$84,4,FALSE)</f>
        <v>36</v>
      </c>
      <c r="C37">
        <f>SUM(VLOOKUP(A37,recipes_ingredients_ws!C37:E1359,3,FALSE))</f>
        <v>160</v>
      </c>
      <c r="D37" t="str" cm="1">
        <f t="array" ref="D37">_xlfn.UNIQUE(VLOOKUP(A37,recipes_ingredients_ws!$C$2:$F$132,4,FALSE))</f>
        <v>g</v>
      </c>
      <c r="E37">
        <f>VLOOKUP(D37,others!$D$2:$E$12,2,FALSE)</f>
        <v>1</v>
      </c>
      <c r="F37">
        <v>1</v>
      </c>
    </row>
    <row r="38" spans="1:6" x14ac:dyDescent="0.3">
      <c r="A38" t="str">
        <v>chives</v>
      </c>
      <c r="B38">
        <f>VLOOKUP(A38,ingredients_ws!$A$2:$D$84,4,FALSE)</f>
        <v>37</v>
      </c>
      <c r="C38">
        <f>SUM(VLOOKUP(A38,recipes_ingredients_ws!C38:E1360,3,FALSE))</f>
        <v>5</v>
      </c>
      <c r="D38" t="str" cm="1">
        <f t="array" ref="D38">_xlfn.UNIQUE(VLOOKUP(A38,recipes_ingredients_ws!$C$2:$F$132,4,FALSE))</f>
        <v>g</v>
      </c>
      <c r="E38">
        <f>VLOOKUP(D38,others!$D$2:$E$12,2,FALSE)</f>
        <v>1</v>
      </c>
      <c r="F38">
        <v>1</v>
      </c>
    </row>
    <row r="39" spans="1:6" x14ac:dyDescent="0.3">
      <c r="A39" t="str">
        <v>basil</v>
      </c>
      <c r="B39">
        <f>VLOOKUP(A39,ingredients_ws!$A$2:$D$84,4,FALSE)</f>
        <v>38</v>
      </c>
      <c r="C39">
        <f>SUM(VLOOKUP(A39,recipes_ingredients_ws!C39:E1361,3,FALSE))</f>
        <v>5</v>
      </c>
      <c r="D39" t="str" cm="1">
        <f t="array" ref="D39">_xlfn.UNIQUE(VLOOKUP(A39,recipes_ingredients_ws!$C$2:$F$132,4,FALSE))</f>
        <v>g</v>
      </c>
      <c r="E39">
        <f>VLOOKUP(D39,others!$D$2:$E$12,2,FALSE)</f>
        <v>1</v>
      </c>
      <c r="F39">
        <v>1</v>
      </c>
    </row>
    <row r="40" spans="1:6" x14ac:dyDescent="0.3">
      <c r="A40" t="str">
        <v>double cream</v>
      </c>
      <c r="B40">
        <f>VLOOKUP(A40,ingredients_ws!$A$2:$D$84,4,FALSE)</f>
        <v>39</v>
      </c>
      <c r="C40">
        <f>SUM(VLOOKUP(A40,recipes_ingredients_ws!C40:E1362,3,FALSE))</f>
        <v>4</v>
      </c>
      <c r="D40" t="str" cm="1">
        <f t="array" ref="D40">_xlfn.UNIQUE(VLOOKUP(A40,recipes_ingredients_ws!$C$2:$F$132,4,FALSE))</f>
        <v>tbsp</v>
      </c>
      <c r="E40">
        <f>VLOOKUP(D40,others!$D$2:$E$12,2,FALSE)</f>
        <v>6</v>
      </c>
      <c r="F40">
        <v>1</v>
      </c>
    </row>
    <row r="41" spans="1:6" x14ac:dyDescent="0.3">
      <c r="A41" t="str">
        <v>Parmesan</v>
      </c>
      <c r="B41">
        <f>VLOOKUP(A41,ingredients_ws!$A$2:$D$84,4,FALSE)</f>
        <v>40</v>
      </c>
      <c r="C41">
        <f>SUM(VLOOKUP(A41,recipes_ingredients_ws!C41:E1363,3,FALSE))</f>
        <v>15</v>
      </c>
      <c r="D41" t="str" cm="1">
        <f t="array" ref="D41">_xlfn.UNIQUE(VLOOKUP(A41,recipes_ingredients_ws!$C$2:$F$132,4,FALSE))</f>
        <v>g</v>
      </c>
      <c r="E41">
        <f>VLOOKUP(D41,others!$D$2:$E$12,2,FALSE)</f>
        <v>1</v>
      </c>
      <c r="F41">
        <v>1</v>
      </c>
    </row>
    <row r="42" spans="1:6" x14ac:dyDescent="0.3">
      <c r="A42" t="str">
        <v>tomato</v>
      </c>
      <c r="B42">
        <f>VLOOKUP(A42,ingredients_ws!$A$2:$D$84,4,FALSE)</f>
        <v>41</v>
      </c>
      <c r="C42">
        <f>SUM(VLOOKUP(A42,recipes_ingredients_ws!C42:E1364,3,FALSE))</f>
        <v>2</v>
      </c>
      <c r="D42" t="str" cm="1">
        <f t="array" ref="D42">_xlfn.UNIQUE(VLOOKUP(A42,recipes_ingredients_ws!$C$2:$F$132,4,FALSE))</f>
        <v>each</v>
      </c>
      <c r="E42">
        <f>VLOOKUP(D42,others!$D$2:$E$12,2,FALSE)</f>
        <v>7</v>
      </c>
      <c r="F42">
        <v>1</v>
      </c>
    </row>
    <row r="43" spans="1:6" x14ac:dyDescent="0.3">
      <c r="A43" t="str">
        <v>orange</v>
      </c>
      <c r="B43">
        <f>VLOOKUP(A43,ingredients_ws!$A$2:$D$84,4,FALSE)</f>
        <v>42</v>
      </c>
      <c r="C43">
        <f>SUM(VLOOKUP(A43,recipes_ingredients_ws!C43:E1365,3,FALSE))</f>
        <v>2</v>
      </c>
      <c r="D43" t="str" cm="1">
        <f t="array" ref="D43">_xlfn.UNIQUE(VLOOKUP(A43,recipes_ingredients_ws!$C$2:$F$132,4,FALSE))</f>
        <v>each</v>
      </c>
      <c r="E43">
        <f>VLOOKUP(D43,others!$D$2:$E$12,2,FALSE)</f>
        <v>7</v>
      </c>
      <c r="F43">
        <v>1</v>
      </c>
    </row>
    <row r="44" spans="1:6" x14ac:dyDescent="0.3">
      <c r="A44" t="str">
        <v>filo</v>
      </c>
      <c r="B44">
        <f>VLOOKUP(A44,ingredients_ws!$A$2:$D$84,4,FALSE)</f>
        <v>43</v>
      </c>
      <c r="C44">
        <f>SUM(VLOOKUP(A44,recipes_ingredients_ws!C44:E1366,3,FALSE))</f>
        <v>500</v>
      </c>
      <c r="D44" t="str" cm="1">
        <f t="array" ref="D44">_xlfn.UNIQUE(VLOOKUP(A44,recipes_ingredients_ws!$C$2:$F$132,4,FALSE))</f>
        <v>g</v>
      </c>
      <c r="E44">
        <f>VLOOKUP(D44,others!$D$2:$E$12,2,FALSE)</f>
        <v>1</v>
      </c>
      <c r="F44">
        <v>1</v>
      </c>
    </row>
    <row r="45" spans="1:6" x14ac:dyDescent="0.3">
      <c r="A45" t="str">
        <v>caster sugar</v>
      </c>
      <c r="B45">
        <f>VLOOKUP(A45,ingredients_ws!$A$2:$D$84,4,FALSE)</f>
        <v>44</v>
      </c>
      <c r="C45">
        <f>SUM(VLOOKUP(A45,recipes_ingredients_ws!C45:E1367,3,FALSE))</f>
        <v>400</v>
      </c>
      <c r="D45" t="str" cm="1">
        <f t="array" ref="D45">_xlfn.UNIQUE(VLOOKUP(A45,recipes_ingredients_ws!$C$2:$F$132,4,FALSE))</f>
        <v>g</v>
      </c>
      <c r="E45">
        <f>VLOOKUP(D45,others!$D$2:$E$12,2,FALSE)</f>
        <v>1</v>
      </c>
      <c r="F45">
        <v>1</v>
      </c>
    </row>
    <row r="46" spans="1:6" x14ac:dyDescent="0.3">
      <c r="A46" t="str">
        <v>Greek yoghurt</v>
      </c>
      <c r="B46">
        <f>VLOOKUP(A46,ingredients_ws!$A$2:$D$84,4,FALSE)</f>
        <v>45</v>
      </c>
      <c r="C46">
        <f>SUM(VLOOKUP(A46,recipes_ingredients_ws!C46:E1368,3,FALSE))</f>
        <v>250</v>
      </c>
      <c r="D46" t="str" cm="1">
        <f t="array" ref="D46">_xlfn.UNIQUE(VLOOKUP(A46,recipes_ingredients_ws!$C$2:$F$132,4,FALSE))</f>
        <v>g</v>
      </c>
      <c r="E46">
        <f>VLOOKUP(D46,others!$D$2:$E$12,2,FALSE)</f>
        <v>1</v>
      </c>
      <c r="F46">
        <v>1</v>
      </c>
    </row>
    <row r="47" spans="1:6" x14ac:dyDescent="0.3">
      <c r="A47" t="str">
        <v>egg</v>
      </c>
      <c r="B47">
        <f>VLOOKUP(A47,ingredients_ws!$A$2:$D$84,4,FALSE)</f>
        <v>46</v>
      </c>
      <c r="C47">
        <f>SUM(VLOOKUP(A47,recipes_ingredients_ws!C47:E1369,3,FALSE))</f>
        <v>5</v>
      </c>
      <c r="D47" t="str" cm="1">
        <f t="array" ref="D47">_xlfn.UNIQUE(VLOOKUP(A47,recipes_ingredients_ws!$C$2:$F$132,4,FALSE))</f>
        <v>each</v>
      </c>
      <c r="E47">
        <f>VLOOKUP(D47,others!$D$2:$E$12,2,FALSE)</f>
        <v>7</v>
      </c>
      <c r="F47">
        <v>1</v>
      </c>
    </row>
    <row r="48" spans="1:6" x14ac:dyDescent="0.3">
      <c r="A48" t="str">
        <v>baking powder</v>
      </c>
      <c r="B48">
        <f>VLOOKUP(A48,ingredients_ws!$A$2:$D$84,4,FALSE)</f>
        <v>47</v>
      </c>
      <c r="C48">
        <f>SUM(VLOOKUP(A48,recipes_ingredients_ws!C48:E1370,3,FALSE))</f>
        <v>1</v>
      </c>
      <c r="D48" t="str" cm="1">
        <f t="array" ref="D48">_xlfn.UNIQUE(VLOOKUP(A48,recipes_ingredients_ws!$C$2:$F$132,4,FALSE))</f>
        <v>tbsp</v>
      </c>
      <c r="E48">
        <f>VLOOKUP(D48,others!$D$2:$E$12,2,FALSE)</f>
        <v>6</v>
      </c>
      <c r="F48">
        <v>1</v>
      </c>
    </row>
    <row r="49" spans="1:6" x14ac:dyDescent="0.3">
      <c r="A49" t="str">
        <v>vanilla extract</v>
      </c>
      <c r="B49">
        <f>VLOOKUP(A49,ingredients_ws!$A$2:$D$84,4,FALSE)</f>
        <v>48</v>
      </c>
      <c r="C49">
        <f>SUM(VLOOKUP(A49,recipes_ingredients_ws!C49:E1371,3,FALSE))</f>
        <v>1</v>
      </c>
      <c r="D49" t="str" cm="1">
        <f t="array" ref="D49">_xlfn.UNIQUE(VLOOKUP(A49,recipes_ingredients_ws!$C$2:$F$132,4,FALSE))</f>
        <v>tsp</v>
      </c>
      <c r="E49">
        <f>VLOOKUP(D49,others!$D$2:$E$12,2,FALSE)</f>
        <v>5</v>
      </c>
      <c r="F49">
        <v>1</v>
      </c>
    </row>
    <row r="50" spans="1:6" x14ac:dyDescent="0.3">
      <c r="A50" t="str">
        <v>wholemeal spelt flour</v>
      </c>
      <c r="B50">
        <f>VLOOKUP(A50,ingredients_ws!$A$2:$D$84,4,FALSE)</f>
        <v>49</v>
      </c>
      <c r="C50">
        <f>SUM(VLOOKUP(A50,recipes_ingredients_ws!C50:E1372,3,FALSE))</f>
        <v>140</v>
      </c>
      <c r="D50" t="str" cm="1">
        <f t="array" ref="D50">_xlfn.UNIQUE(VLOOKUP(A50,recipes_ingredients_ws!$C$2:$F$132,4,FALSE))</f>
        <v>g</v>
      </c>
      <c r="E50">
        <f>VLOOKUP(D50,others!$D$2:$E$12,2,FALSE)</f>
        <v>1</v>
      </c>
      <c r="F50">
        <v>1</v>
      </c>
    </row>
    <row r="51" spans="1:6" x14ac:dyDescent="0.3">
      <c r="A51" t="str">
        <v>wholemeal plain flour</v>
      </c>
      <c r="B51">
        <f>VLOOKUP(A51,ingredients_ws!$A$2:$D$84,4,FALSE)</f>
        <v>50</v>
      </c>
      <c r="C51">
        <f>SUM(VLOOKUP(A51,recipes_ingredients_ws!C51:E1373,3,FALSE))</f>
        <v>150</v>
      </c>
      <c r="D51" t="str" cm="1">
        <f t="array" ref="D51">_xlfn.UNIQUE(VLOOKUP(A51,recipes_ingredients_ws!$C$2:$F$132,4,FALSE))</f>
        <v>g</v>
      </c>
      <c r="E51">
        <f>VLOOKUP(D51,others!$D$2:$E$12,2,FALSE)</f>
        <v>1</v>
      </c>
      <c r="F51">
        <v>0</v>
      </c>
    </row>
    <row r="52" spans="1:6" x14ac:dyDescent="0.3">
      <c r="A52" t="str">
        <v>ground cinnamon</v>
      </c>
      <c r="B52">
        <f>VLOOKUP(A52,ingredients_ws!$A$2:$D$84,4,FALSE)</f>
        <v>51</v>
      </c>
      <c r="C52">
        <f>SUM(VLOOKUP(A52,recipes_ingredients_ws!C52:E1374,3,FALSE))</f>
        <v>1</v>
      </c>
      <c r="D52" t="str" cm="1">
        <f t="array" ref="D52">_xlfn.UNIQUE(VLOOKUP(A52,recipes_ingredients_ws!$C$2:$F$132,4,FALSE))</f>
        <v>tsp</v>
      </c>
      <c r="E52">
        <f>VLOOKUP(D52,others!$D$2:$E$12,2,FALSE)</f>
        <v>5</v>
      </c>
      <c r="F52">
        <v>1</v>
      </c>
    </row>
    <row r="53" spans="1:6" x14ac:dyDescent="0.3">
      <c r="A53" t="str">
        <v>maple syrup</v>
      </c>
      <c r="B53">
        <f>VLOOKUP(A53,ingredients_ws!$A$2:$D$84,4,FALSE)</f>
        <v>52</v>
      </c>
      <c r="C53">
        <f>SUM(VLOOKUP(A53,recipes_ingredients_ws!C53:E1375,3,FALSE))</f>
        <v>180</v>
      </c>
      <c r="D53" t="str" cm="1">
        <f t="array" ref="D53">_xlfn.UNIQUE(VLOOKUP(A53,recipes_ingredients_ws!$C$2:$F$132,4,FALSE))</f>
        <v>ml</v>
      </c>
      <c r="E53">
        <f>VLOOKUP(D53,others!$D$2:$E$12,2,FALSE)</f>
        <v>3</v>
      </c>
      <c r="F53">
        <v>1</v>
      </c>
    </row>
    <row r="54" spans="1:6" x14ac:dyDescent="0.3">
      <c r="A54" t="str">
        <v>milk</v>
      </c>
      <c r="B54">
        <f>VLOOKUP(A54,ingredients_ws!$A$2:$D$84,4,FALSE)</f>
        <v>53</v>
      </c>
      <c r="C54">
        <f>SUM(VLOOKUP(A54,recipes_ingredients_ws!C54:E1376,3,FALSE))</f>
        <v>80</v>
      </c>
      <c r="D54" t="str" cm="1">
        <f t="array" ref="D54">_xlfn.UNIQUE(VLOOKUP(A54,recipes_ingredients_ws!$C$2:$F$132,4,FALSE))</f>
        <v>ml</v>
      </c>
      <c r="E54">
        <f>VLOOKUP(D54,others!$D$2:$E$12,2,FALSE)</f>
        <v>3</v>
      </c>
      <c r="F54">
        <v>1</v>
      </c>
    </row>
    <row r="55" spans="1:6" x14ac:dyDescent="0.3">
      <c r="A55" t="str">
        <v>frozen blueberry</v>
      </c>
      <c r="B55">
        <f>VLOOKUP(A55,ingredients_ws!$A$2:$D$84,4,FALSE)</f>
        <v>54</v>
      </c>
      <c r="C55">
        <f>SUM(VLOOKUP(A55,recipes_ingredients_ws!C55:E1377,3,FALSE))</f>
        <v>375</v>
      </c>
      <c r="D55" t="str" cm="1">
        <f t="array" ref="D55">_xlfn.UNIQUE(VLOOKUP(A55,recipes_ingredients_ws!$C$2:$F$132,4,FALSE))</f>
        <v>g</v>
      </c>
      <c r="E55">
        <f>VLOOKUP(D55,others!$D$2:$E$12,2,FALSE)</f>
        <v>1</v>
      </c>
      <c r="F55">
        <v>1</v>
      </c>
    </row>
    <row r="56" spans="1:6" x14ac:dyDescent="0.3">
      <c r="A56" t="str">
        <v>ginger</v>
      </c>
      <c r="B56">
        <f>VLOOKUP(A56,ingredients_ws!$A$2:$D$84,4,FALSE)</f>
        <v>55</v>
      </c>
      <c r="C56">
        <f>SUM(VLOOKUP(A56,recipes_ingredients_ws!C56:E1378,3,FALSE))</f>
        <v>15</v>
      </c>
      <c r="D56" t="str" cm="1">
        <f t="array" ref="D56">_xlfn.UNIQUE(VLOOKUP(A56,recipes_ingredients_ws!$C$2:$F$132,4,FALSE))</f>
        <v>g</v>
      </c>
      <c r="E56">
        <f>VLOOKUP(D56,others!$D$2:$E$12,2,FALSE)</f>
        <v>1</v>
      </c>
      <c r="F56">
        <v>1</v>
      </c>
    </row>
    <row r="57" spans="1:6" x14ac:dyDescent="0.3">
      <c r="A57" t="str">
        <v>green chilli</v>
      </c>
      <c r="B57">
        <f>VLOOKUP(A57,ingredients_ws!$A$2:$D$84,4,FALSE)</f>
        <v>56</v>
      </c>
      <c r="C57">
        <f>SUM(VLOOKUP(A57,recipes_ingredients_ws!C57:E1379,3,FALSE))</f>
        <v>2</v>
      </c>
      <c r="D57" t="str" cm="1">
        <f t="array" ref="D57">_xlfn.UNIQUE(VLOOKUP(A57,recipes_ingredients_ws!$C$2:$F$132,4,FALSE))</f>
        <v>each</v>
      </c>
      <c r="E57">
        <f>VLOOKUP(D57,others!$D$2:$E$12,2,FALSE)</f>
        <v>7</v>
      </c>
      <c r="F57">
        <v>1</v>
      </c>
    </row>
    <row r="58" spans="1:6" x14ac:dyDescent="0.3">
      <c r="A58" t="str">
        <v>aubergine</v>
      </c>
      <c r="B58">
        <f>VLOOKUP(A58,ingredients_ws!$A$2:$D$84,4,FALSE)</f>
        <v>57</v>
      </c>
      <c r="C58">
        <f>SUM(VLOOKUP(A58,recipes_ingredients_ws!C58:E1380,3,FALSE))</f>
        <v>2</v>
      </c>
      <c r="D58" t="str" cm="1">
        <f t="array" ref="D58">_xlfn.UNIQUE(VLOOKUP(A58,recipes_ingredients_ws!$C$2:$F$132,4,FALSE))</f>
        <v>each</v>
      </c>
      <c r="E58">
        <f>VLOOKUP(D58,others!$D$2:$E$12,2,FALSE)</f>
        <v>7</v>
      </c>
      <c r="F58">
        <v>1</v>
      </c>
    </row>
    <row r="59" spans="1:6" x14ac:dyDescent="0.3">
      <c r="A59" t="str">
        <v>spring onion</v>
      </c>
      <c r="B59">
        <f>VLOOKUP(A59,ingredients_ws!$A$2:$D$84,4,FALSE)</f>
        <v>58</v>
      </c>
      <c r="C59">
        <f>SUM(VLOOKUP(A59,recipes_ingredients_ws!C59:E1381,3,FALSE))</f>
        <v>4</v>
      </c>
      <c r="D59" t="str" cm="1">
        <f t="array" ref="D59">_xlfn.UNIQUE(VLOOKUP(A59,recipes_ingredients_ws!$C$2:$F$132,4,FALSE))</f>
        <v>each</v>
      </c>
      <c r="E59">
        <f>VLOOKUP(D59,others!$D$2:$E$12,2,FALSE)</f>
        <v>7</v>
      </c>
      <c r="F59">
        <v>1</v>
      </c>
    </row>
    <row r="60" spans="1:6" x14ac:dyDescent="0.3">
      <c r="A60" t="str">
        <v>lime</v>
      </c>
      <c r="B60">
        <f>VLOOKUP(A60,ingredients_ws!$A$2:$D$84,4,FALSE)</f>
        <v>59</v>
      </c>
      <c r="C60">
        <f>SUM(VLOOKUP(A60,recipes_ingredients_ws!C60:E1382,3,FALSE))</f>
        <v>1</v>
      </c>
      <c r="D60" t="str" cm="1">
        <f t="array" ref="D60">_xlfn.UNIQUE(VLOOKUP(A60,recipes_ingredients_ws!$C$2:$F$132,4,FALSE))</f>
        <v>each</v>
      </c>
      <c r="E60">
        <f>VLOOKUP(D60,others!$D$2:$E$12,2,FALSE)</f>
        <v>7</v>
      </c>
      <c r="F60">
        <v>1</v>
      </c>
    </row>
    <row r="61" spans="1:6" x14ac:dyDescent="0.3">
      <c r="A61" t="str">
        <v>tamarind paste</v>
      </c>
      <c r="B61">
        <f>VLOOKUP(A61,ingredients_ws!$A$2:$D$84,4,FALSE)</f>
        <v>60</v>
      </c>
      <c r="C61">
        <f>SUM(VLOOKUP(A61,recipes_ingredients_ws!C61:E1383,3,FALSE))</f>
        <v>1</v>
      </c>
      <c r="D61" t="str" cm="1">
        <f t="array" ref="D61">_xlfn.UNIQUE(VLOOKUP(A61,recipes_ingredients_ws!$C$2:$F$132,4,FALSE))</f>
        <v>tbsp</v>
      </c>
      <c r="E61">
        <f>VLOOKUP(D61,others!$D$2:$E$12,2,FALSE)</f>
        <v>6</v>
      </c>
      <c r="F61">
        <v>1</v>
      </c>
    </row>
    <row r="62" spans="1:6" x14ac:dyDescent="0.3">
      <c r="A62" t="str">
        <v>miso</v>
      </c>
      <c r="B62">
        <f>VLOOKUP(A62,ingredients_ws!$A$2:$D$84,4,FALSE)</f>
        <v>61</v>
      </c>
      <c r="C62">
        <f>SUM(VLOOKUP(A62,recipes_ingredients_ws!C62:E1384,3,FALSE))</f>
        <v>3</v>
      </c>
      <c r="D62" t="str" cm="1">
        <f t="array" ref="D62">_xlfn.UNIQUE(VLOOKUP(A62,recipes_ingredients_ws!$C$2:$F$132,4,FALSE))</f>
        <v>tbsp</v>
      </c>
      <c r="E62">
        <f>VLOOKUP(D62,others!$D$2:$E$12,2,FALSE)</f>
        <v>6</v>
      </c>
      <c r="F62">
        <v>1</v>
      </c>
    </row>
    <row r="63" spans="1:6" x14ac:dyDescent="0.3">
      <c r="A63" t="str">
        <v>Dijon mustard</v>
      </c>
      <c r="B63">
        <f>VLOOKUP(A63,ingredients_ws!$A$2:$D$84,4,FALSE)</f>
        <v>62</v>
      </c>
      <c r="C63">
        <f>SUM(VLOOKUP(A63,recipes_ingredients_ws!C63:E1385,3,FALSE))</f>
        <v>2</v>
      </c>
      <c r="D63" t="str" cm="1">
        <f t="array" ref="D63">_xlfn.UNIQUE(VLOOKUP(A63,recipes_ingredients_ws!$C$2:$F$132,4,FALSE))</f>
        <v>tbsp</v>
      </c>
      <c r="E63">
        <f>VLOOKUP(D63,others!$D$2:$E$12,2,FALSE)</f>
        <v>6</v>
      </c>
      <c r="F63">
        <v>0</v>
      </c>
    </row>
    <row r="64" spans="1:6" x14ac:dyDescent="0.3">
      <c r="A64" t="str">
        <v>pork joint</v>
      </c>
      <c r="B64">
        <f>VLOOKUP(A64,ingredients_ws!$A$2:$D$84,4,FALSE)</f>
        <v>63</v>
      </c>
      <c r="C64">
        <f>SUM(VLOOKUP(A64,recipes_ingredients_ws!C64:E1386,3,FALSE))</f>
        <v>1.3</v>
      </c>
      <c r="D64" t="str" cm="1">
        <f t="array" ref="D64">_xlfn.UNIQUE(VLOOKUP(A64,recipes_ingredients_ws!$C$2:$F$132,4,FALSE))</f>
        <v>kg</v>
      </c>
      <c r="E64">
        <f>VLOOKUP(D64,others!$D$2:$E$12,2,FALSE)</f>
        <v>2</v>
      </c>
      <c r="F64">
        <v>1</v>
      </c>
    </row>
    <row r="65" spans="1:6" x14ac:dyDescent="0.3">
      <c r="A65" t="str">
        <v>chicken stock</v>
      </c>
      <c r="B65">
        <f>VLOOKUP(A65,ingredients_ws!$A$2:$D$84,4,FALSE)</f>
        <v>64</v>
      </c>
      <c r="C65">
        <f>SUM(VLOOKUP(A65,recipes_ingredients_ws!C65:E1387,3,FALSE))</f>
        <v>500</v>
      </c>
      <c r="D65" t="str" cm="1">
        <f t="array" ref="D65">_xlfn.UNIQUE(VLOOKUP(A65,recipes_ingredients_ws!$C$2:$F$132,4,FALSE))</f>
        <v>ml</v>
      </c>
      <c r="E65">
        <f>VLOOKUP(D65,others!$D$2:$E$12,2,FALSE)</f>
        <v>3</v>
      </c>
      <c r="F65">
        <v>1</v>
      </c>
    </row>
    <row r="66" spans="1:6" x14ac:dyDescent="0.3">
      <c r="A66" t="str">
        <v>balsamic vinegar</v>
      </c>
      <c r="B66">
        <f>VLOOKUP(A66,ingredients_ws!$A$2:$D$84,4,FALSE)</f>
        <v>65</v>
      </c>
      <c r="C66">
        <f>SUM(VLOOKUP(A66,recipes_ingredients_ws!C66:E1388,3,FALSE))</f>
        <v>2</v>
      </c>
      <c r="D66" t="str" cm="1">
        <f t="array" ref="D66">_xlfn.UNIQUE(VLOOKUP(A66,recipes_ingredients_ws!$C$2:$F$132,4,FALSE))</f>
        <v>tbsp</v>
      </c>
      <c r="E66">
        <f>VLOOKUP(D66,others!$D$2:$E$12,2,FALSE)</f>
        <v>6</v>
      </c>
      <c r="F66">
        <v>1</v>
      </c>
    </row>
    <row r="67" spans="1:6" x14ac:dyDescent="0.3">
      <c r="A67" t="str">
        <v>tinned butter beans</v>
      </c>
      <c r="B67">
        <f>VLOOKUP(A67,ingredients_ws!$A$2:$D$84,4,FALSE)</f>
        <v>66</v>
      </c>
      <c r="C67">
        <f>SUM(VLOOKUP(A67,recipes_ingredients_ws!C67:E1389,3,FALSE))</f>
        <v>400</v>
      </c>
      <c r="D67" t="str" cm="1">
        <f t="array" ref="D67">_xlfn.UNIQUE(VLOOKUP(A67,recipes_ingredients_ws!$C$2:$F$132,4,FALSE))</f>
        <v>g</v>
      </c>
      <c r="E67">
        <f>VLOOKUP(D67,others!$D$2:$E$12,2,FALSE)</f>
        <v>1</v>
      </c>
      <c r="F67">
        <v>1</v>
      </c>
    </row>
    <row r="68" spans="1:6" x14ac:dyDescent="0.3">
      <c r="A68" t="str">
        <v>butter</v>
      </c>
      <c r="B68">
        <f>VLOOKUP(A68,ingredients_ws!$A$2:$D$84,4,FALSE)</f>
        <v>67</v>
      </c>
      <c r="C68">
        <f>SUM(VLOOKUP(A68,recipes_ingredients_ws!C68:E1390,3,FALSE))</f>
        <v>20</v>
      </c>
      <c r="D68" t="str" cm="1">
        <f t="array" ref="D68">_xlfn.UNIQUE(VLOOKUP(A68,recipes_ingredients_ws!$C$2:$F$132,4,FALSE))</f>
        <v>g</v>
      </c>
      <c r="E68">
        <f>VLOOKUP(D68,others!$D$2:$E$12,2,FALSE)</f>
        <v>1</v>
      </c>
      <c r="F68">
        <v>1</v>
      </c>
    </row>
    <row r="69" spans="1:6" x14ac:dyDescent="0.3">
      <c r="A69" t="str">
        <v>parsley</v>
      </c>
      <c r="B69">
        <f>VLOOKUP(A69,ingredients_ws!$A$2:$D$84,4,FALSE)</f>
        <v>68</v>
      </c>
      <c r="C69">
        <f>SUM(VLOOKUP(A69,recipes_ingredients_ws!C69:E1391,3,FALSE))</f>
        <v>10</v>
      </c>
      <c r="D69" t="str" cm="1">
        <f t="array" ref="D69">_xlfn.UNIQUE(VLOOKUP(A69,recipes_ingredients_ws!$C$2:$F$132,4,FALSE))</f>
        <v>g</v>
      </c>
      <c r="E69">
        <f>VLOOKUP(D69,others!$D$2:$E$12,2,FALSE)</f>
        <v>1</v>
      </c>
      <c r="F69">
        <v>1</v>
      </c>
    </row>
    <row r="70" spans="1:6" x14ac:dyDescent="0.3">
      <c r="A70" t="str">
        <v>oregano</v>
      </c>
      <c r="B70">
        <f>VLOOKUP(A70,ingredients_ws!$A$2:$D$84,4,FALSE)</f>
        <v>69</v>
      </c>
      <c r="C70">
        <f>SUM(VLOOKUP(A70,recipes_ingredients_ws!C70:E1392,3,FALSE))</f>
        <v>5</v>
      </c>
      <c r="D70" t="str" cm="1">
        <f t="array" ref="D70">_xlfn.UNIQUE(VLOOKUP(A70,recipes_ingredients_ws!$C$2:$F$132,4,FALSE))</f>
        <v>g</v>
      </c>
      <c r="E70">
        <f>VLOOKUP(D70,others!$D$2:$E$12,2,FALSE)</f>
        <v>1</v>
      </c>
      <c r="F70">
        <v>1</v>
      </c>
    </row>
    <row r="71" spans="1:6" x14ac:dyDescent="0.3">
      <c r="A71" t="str">
        <v>dill</v>
      </c>
      <c r="B71">
        <f>VLOOKUP(A71,ingredients_ws!$A$2:$D$84,4,FALSE)</f>
        <v>70</v>
      </c>
      <c r="C71">
        <f>SUM(VLOOKUP(A71,recipes_ingredients_ws!C71:E1393,3,FALSE))</f>
        <v>5</v>
      </c>
      <c r="D71" t="str" cm="1">
        <f t="array" ref="D71">_xlfn.UNIQUE(VLOOKUP(A71,recipes_ingredients_ws!$C$2:$F$132,4,FALSE))</f>
        <v>g</v>
      </c>
      <c r="E71">
        <f>VLOOKUP(D71,others!$D$2:$E$12,2,FALSE)</f>
        <v>1</v>
      </c>
      <c r="F71">
        <v>1</v>
      </c>
    </row>
    <row r="72" spans="1:6" x14ac:dyDescent="0.3">
      <c r="A72" t="str">
        <v>fennel bulb</v>
      </c>
      <c r="B72">
        <f>VLOOKUP(A72,ingredients_ws!$A$2:$D$84,4,FALSE)</f>
        <v>71</v>
      </c>
      <c r="C72">
        <f>SUM(VLOOKUP(A72,recipes_ingredients_ws!C72:E1394,3,FALSE))</f>
        <v>4</v>
      </c>
      <c r="D72" t="str" cm="1">
        <f t="array" ref="D72">_xlfn.UNIQUE(VLOOKUP(A72,recipes_ingredients_ws!$C$2:$F$132,4,FALSE))</f>
        <v>each</v>
      </c>
      <c r="E72">
        <f>VLOOKUP(D72,others!$D$2:$E$12,2,FALSE)</f>
        <v>7</v>
      </c>
      <c r="F72">
        <v>1</v>
      </c>
    </row>
    <row r="73" spans="1:6" x14ac:dyDescent="0.3">
      <c r="A73" t="str">
        <v>fennel seeds</v>
      </c>
      <c r="B73">
        <f>VLOOKUP(A73,ingredients_ws!$A$2:$D$84,4,FALSE)</f>
        <v>72</v>
      </c>
      <c r="C73">
        <f>SUM(VLOOKUP(A73,recipes_ingredients_ws!C73:E1395,3,FALSE))</f>
        <v>3</v>
      </c>
      <c r="D73" t="str" cm="1">
        <f t="array" ref="D73">_xlfn.UNIQUE(VLOOKUP(A73,recipes_ingredients_ws!$C$2:$F$132,4,FALSE))</f>
        <v>tsp</v>
      </c>
      <c r="E73">
        <f>VLOOKUP(D73,others!$D$2:$E$12,2,FALSE)</f>
        <v>5</v>
      </c>
      <c r="F73">
        <v>1</v>
      </c>
    </row>
    <row r="74" spans="1:6" x14ac:dyDescent="0.3">
      <c r="A74" t="str">
        <v>chilli flake</v>
      </c>
      <c r="B74">
        <f>VLOOKUP(A74,ingredients_ws!$A$2:$D$84,4,FALSE)</f>
        <v>73</v>
      </c>
      <c r="C74">
        <f>SUM(VLOOKUP(A74,recipes_ingredients_ws!C74:E1396,3,FALSE))</f>
        <v>3</v>
      </c>
      <c r="D74" t="str" cm="1">
        <f t="array" ref="D74">_xlfn.UNIQUE(VLOOKUP(A74,recipes_ingredients_ws!$C$2:$F$132,4,FALSE))</f>
        <v>tsp</v>
      </c>
      <c r="E74">
        <f>VLOOKUP(D74,others!$D$2:$E$12,2,FALSE)</f>
        <v>5</v>
      </c>
      <c r="F74">
        <v>1</v>
      </c>
    </row>
    <row r="75" spans="1:6" x14ac:dyDescent="0.3">
      <c r="A75" t="str">
        <v>salt flake</v>
      </c>
      <c r="B75">
        <f>VLOOKUP(A75,ingredients_ws!$A$2:$D$84,4,FALSE)</f>
        <v>74</v>
      </c>
      <c r="C75">
        <f>SUM(VLOOKUP(A75,recipes_ingredients_ws!C75:E1397,3,FALSE))</f>
        <v>0.1</v>
      </c>
      <c r="D75" t="str" cm="1">
        <f t="array" ref="D75">_xlfn.UNIQUE(VLOOKUP(A75,recipes_ingredients_ws!$C$2:$F$132,4,FALSE))</f>
        <v>tsp</v>
      </c>
      <c r="E75">
        <f>VLOOKUP(D75,others!$D$2:$E$12,2,FALSE)</f>
        <v>5</v>
      </c>
      <c r="F75">
        <v>1</v>
      </c>
    </row>
    <row r="76" spans="1:6" x14ac:dyDescent="0.3">
      <c r="A76" t="str">
        <v>dried mushroom</v>
      </c>
      <c r="B76">
        <f>VLOOKUP(A76,ingredients_ws!$A$2:$D$84,4,FALSE)</f>
        <v>75</v>
      </c>
      <c r="C76">
        <f>SUM(VLOOKUP(A76,recipes_ingredients_ws!C76:E1398,3,FALSE))</f>
        <v>25</v>
      </c>
      <c r="D76" t="str" cm="1">
        <f t="array" ref="D76">_xlfn.UNIQUE(VLOOKUP(A76,recipes_ingredients_ws!$C$2:$F$132,4,FALSE))</f>
        <v>g</v>
      </c>
      <c r="E76">
        <f>VLOOKUP(D76,others!$D$2:$E$12,2,FALSE)</f>
        <v>1</v>
      </c>
      <c r="F76">
        <v>1</v>
      </c>
    </row>
    <row r="77" spans="1:6" x14ac:dyDescent="0.3">
      <c r="A77" t="str">
        <v>mushroom</v>
      </c>
      <c r="B77">
        <f>VLOOKUP(A77,ingredients_ws!$A$2:$D$84,4,FALSE)</f>
        <v>76</v>
      </c>
      <c r="C77">
        <f>SUM(VLOOKUP(A77,recipes_ingredients_ws!C77:E1399,3,FALSE))</f>
        <v>110</v>
      </c>
      <c r="D77" t="str" cm="1">
        <f t="array" ref="D77">_xlfn.UNIQUE(VLOOKUP(A77,recipes_ingredients_ws!$C$2:$F$132,4,FALSE))</f>
        <v>g</v>
      </c>
      <c r="E77">
        <f>VLOOKUP(D77,others!$D$2:$E$12,2,FALSE)</f>
        <v>1</v>
      </c>
      <c r="F77">
        <v>1</v>
      </c>
    </row>
    <row r="78" spans="1:6" x14ac:dyDescent="0.3">
      <c r="A78" t="str">
        <v xml:space="preserve">celery </v>
      </c>
      <c r="B78">
        <f>VLOOKUP(A78,ingredients_ws!$A$2:$D$84,4,FALSE)</f>
        <v>77</v>
      </c>
      <c r="C78">
        <f>SUM(VLOOKUP(A78,recipes_ingredients_ws!C78:E1400,3,FALSE))</f>
        <v>2</v>
      </c>
      <c r="D78" t="str" cm="1">
        <f t="array" ref="D78">_xlfn.UNIQUE(VLOOKUP(A78,recipes_ingredients_ws!$C$2:$F$132,4,FALSE))</f>
        <v>each</v>
      </c>
      <c r="E78">
        <f>VLOOKUP(D78,others!$D$2:$E$12,2,FALSE)</f>
        <v>7</v>
      </c>
      <c r="F78">
        <v>1</v>
      </c>
    </row>
    <row r="79" spans="1:6" x14ac:dyDescent="0.3">
      <c r="A79" t="str">
        <v>leek</v>
      </c>
      <c r="B79">
        <f>VLOOKUP(A79,ingredients_ws!$A$2:$D$84,4,FALSE)</f>
        <v>78</v>
      </c>
      <c r="C79">
        <f>SUM(VLOOKUP(A79,recipes_ingredients_ws!C79:E1401,3,FALSE))</f>
        <v>1</v>
      </c>
      <c r="D79" t="str" cm="1">
        <f t="array" ref="D79">_xlfn.UNIQUE(VLOOKUP(A79,recipes_ingredients_ws!$C$2:$F$132,4,FALSE))</f>
        <v>each</v>
      </c>
      <c r="E79">
        <f>VLOOKUP(D79,others!$D$2:$E$12,2,FALSE)</f>
        <v>7</v>
      </c>
      <c r="F79">
        <v>1</v>
      </c>
    </row>
    <row r="80" spans="1:6" x14ac:dyDescent="0.3">
      <c r="A80" t="str">
        <v>bay leaves</v>
      </c>
      <c r="B80">
        <f>VLOOKUP(A80,ingredients_ws!$A$2:$D$84,4,FALSE)</f>
        <v>79</v>
      </c>
      <c r="C80">
        <f>SUM(VLOOKUP(A80,recipes_ingredients_ws!C80:E1402,3,FALSE))</f>
        <v>2</v>
      </c>
      <c r="D80" t="str" cm="1">
        <f t="array" ref="D80">_xlfn.UNIQUE(VLOOKUP(A80,recipes_ingredients_ws!$C$2:$F$132,4,FALSE))</f>
        <v>each</v>
      </c>
      <c r="E80">
        <f>VLOOKUP(D80,others!$D$2:$E$12,2,FALSE)</f>
        <v>7</v>
      </c>
      <c r="F80">
        <v>1</v>
      </c>
    </row>
    <row r="81" spans="1:6" x14ac:dyDescent="0.3">
      <c r="A81" t="str">
        <v>vegetable stock</v>
      </c>
      <c r="B81">
        <f>VLOOKUP(A81,ingredients_ws!$A$2:$D$84,4,FALSE)</f>
        <v>80</v>
      </c>
      <c r="C81">
        <f>SUM(VLOOKUP(A81,recipes_ingredients_ws!C81:E1403,3,FALSE))</f>
        <v>2</v>
      </c>
      <c r="D81" t="str" cm="1">
        <f t="array" ref="D81">_xlfn.UNIQUE(VLOOKUP(A81,recipes_ingredients_ws!$C$2:$F$132,4,FALSE))</f>
        <v>l</v>
      </c>
      <c r="E81">
        <f>VLOOKUP(D81,others!$D$2:$E$12,2,FALSE)</f>
        <v>4</v>
      </c>
      <c r="F81">
        <v>1</v>
      </c>
    </row>
    <row r="82" spans="1:6" x14ac:dyDescent="0.3">
      <c r="A82" t="str">
        <v>small mushroom</v>
      </c>
      <c r="B82">
        <f>VLOOKUP(A82,ingredients_ws!$A$2:$D$84,4,FALSE)</f>
        <v>81</v>
      </c>
      <c r="C82">
        <f>SUM(VLOOKUP(A82,recipes_ingredients_ws!C82:E1404,3,FALSE))</f>
        <v>225</v>
      </c>
      <c r="D82" t="str" cm="1">
        <f t="array" ref="D82">_xlfn.UNIQUE(VLOOKUP(A82,recipes_ingredients_ws!$C$2:$F$132,4,FALSE))</f>
        <v>g</v>
      </c>
      <c r="E82">
        <f>VLOOKUP(D82,others!$D$2:$E$12,2,FALSE)</f>
        <v>1</v>
      </c>
      <c r="F82">
        <v>1</v>
      </c>
    </row>
    <row r="83" spans="1:6" x14ac:dyDescent="0.3">
      <c r="A83" t="str">
        <v>single cream</v>
      </c>
      <c r="B83">
        <f>VLOOKUP(A83,ingredients_ws!$A$2:$D$84,4,FALSE)</f>
        <v>82</v>
      </c>
      <c r="C83">
        <f>SUM(VLOOKUP(A83,recipes_ingredients_ws!C83:E1405,3,FALSE))</f>
        <v>75</v>
      </c>
      <c r="D83" t="str" cm="1">
        <f t="array" ref="D83">_xlfn.UNIQUE(VLOOKUP(A83,recipes_ingredients_ws!$C$2:$F$132,4,FALSE))</f>
        <v>ml</v>
      </c>
      <c r="E83">
        <f>VLOOKUP(D83,others!$D$2:$E$12,2,FALSE)</f>
        <v>3</v>
      </c>
      <c r="F83">
        <v>1</v>
      </c>
    </row>
    <row r="84" spans="1:6" x14ac:dyDescent="0.3">
      <c r="A84" t="str">
        <v>dry sherry</v>
      </c>
      <c r="B84">
        <f>VLOOKUP(A84,ingredients_ws!$A$2:$D$84,4,FALSE)</f>
        <v>83</v>
      </c>
      <c r="C84">
        <f>SUM(VLOOKUP(A84,recipes_ingredients_ws!C84:E1406,3,FALSE))</f>
        <v>75</v>
      </c>
      <c r="D84" t="str" cm="1">
        <f t="array" ref="D84">_xlfn.UNIQUE(VLOOKUP(A84,recipes_ingredients_ws!$C$2:$F$132,4,FALSE))</f>
        <v>ml</v>
      </c>
      <c r="E84">
        <f>VLOOKUP(D84,others!$D$2:$E$12,2,FALSE)</f>
        <v>3</v>
      </c>
      <c r="F84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DEE90-581C-4789-ACB8-7FBFA1FAE1B9}">
  <dimension ref="A1:D10"/>
  <sheetViews>
    <sheetView workbookViewId="0">
      <selection activeCell="A19" sqref="A19"/>
    </sheetView>
  </sheetViews>
  <sheetFormatPr defaultRowHeight="14.4" x14ac:dyDescent="0.3"/>
  <cols>
    <col min="1" max="1" width="24" bestFit="1" customWidth="1"/>
    <col min="2" max="2" width="14.5546875" bestFit="1" customWidth="1"/>
    <col min="3" max="3" width="14.33203125" bestFit="1" customWidth="1"/>
    <col min="4" max="4" width="13.88671875" bestFit="1" customWidth="1"/>
  </cols>
  <sheetData>
    <row r="1" spans="1:4" x14ac:dyDescent="0.3">
      <c r="A1" t="str">
        <f>_xlfn.CONCAT("'",LOWER(cookbook_ws!A1),"'")</f>
        <v>'cookbook_title'</v>
      </c>
      <c r="B1" t="str">
        <f>_xlfn.CONCAT("'",LOWER(cookbook_ws!B1),"'")</f>
        <v>'chef_first_name'</v>
      </c>
      <c r="C1" t="str">
        <f>_xlfn.CONCAT("'",LOWER(cookbook_ws!C1),"'")</f>
        <v>'chef_last_name'</v>
      </c>
      <c r="D1" t="str">
        <f>_xlfn.CONCAT("'",LOWER(cookbook_ws!D1),"'")</f>
        <v>'published_date'</v>
      </c>
    </row>
    <row r="2" spans="1:4" x14ac:dyDescent="0.3">
      <c r="A2" t="str">
        <f>_xlfn.CONCAT("'",LOWER(cookbook_ws!A2),"'")</f>
        <v>'ottolenghi test kitchen'</v>
      </c>
      <c r="B2" t="str">
        <f>_xlfn.CONCAT("'",LOWER(cookbook_ws!B2),"'")</f>
        <v>'yotam'</v>
      </c>
      <c r="C2" t="str">
        <f>_xlfn.CONCAT("'",LOWER(cookbook_ws!C2),"'")</f>
        <v>'ottolenghi'</v>
      </c>
      <c r="D2" s="12">
        <f>cookbook_ws!D2</f>
        <v>44483</v>
      </c>
    </row>
    <row r="3" spans="1:4" x14ac:dyDescent="0.3">
      <c r="A3" t="str">
        <f>_xlfn.CONCAT("'",LOWER(cookbook_ws!A3),"'")</f>
        <v>'ottolenghi simple'</v>
      </c>
      <c r="B3" t="str">
        <f>_xlfn.CONCAT("'",LOWER(cookbook_ws!B3),"'")</f>
        <v>'yotam'</v>
      </c>
      <c r="C3" t="str">
        <f>_xlfn.CONCAT("'",LOWER(cookbook_ws!C3),"'")</f>
        <v>'ottolenghi'</v>
      </c>
      <c r="D3" s="12">
        <f>cookbook_ws!D3</f>
        <v>43377</v>
      </c>
    </row>
    <row r="4" spans="1:4" x14ac:dyDescent="0.3">
      <c r="A4" t="str">
        <f>_xlfn.CONCAT("'",LOWER(cookbook_ws!A4),"'")</f>
        <v>'mezcla'</v>
      </c>
      <c r="B4" t="str">
        <f>_xlfn.CONCAT("'",LOWER(cookbook_ws!B4),"'")</f>
        <v>'ixta'</v>
      </c>
      <c r="C4" t="str">
        <f>_xlfn.CONCAT("'",LOWER(cookbook_ws!C4),"'")</f>
        <v>'belfrage'</v>
      </c>
      <c r="D4" s="12">
        <f>cookbook_ws!D4</f>
        <v>44756</v>
      </c>
    </row>
    <row r="5" spans="1:4" x14ac:dyDescent="0.3">
      <c r="A5" t="str">
        <f>_xlfn.CONCAT("'",LOWER(cookbook_ws!A5),"'")</f>
        <v>'taverna'</v>
      </c>
      <c r="B5" t="str">
        <f>_xlfn.CONCAT("'",LOWER(cookbook_ws!B5),"'")</f>
        <v>'georgina'</v>
      </c>
      <c r="C5" t="str">
        <f>_xlfn.CONCAT("'",LOWER(cookbook_ws!C5),"'")</f>
        <v>'hayden'</v>
      </c>
      <c r="D5" s="12">
        <f>cookbook_ws!D5</f>
        <v>45099</v>
      </c>
    </row>
    <row r="6" spans="1:4" x14ac:dyDescent="0.3">
      <c r="A6" t="str">
        <f>_xlfn.CONCAT("'",LOWER(cookbook_ws!A6),"'")</f>
        <v>'basics to brilliance kids'</v>
      </c>
      <c r="B6" t="str">
        <f>_xlfn.CONCAT("'",LOWER(cookbook_ws!B6),"'")</f>
        <v>'donna'</v>
      </c>
      <c r="C6" t="str">
        <f>_xlfn.CONCAT("'",LOWER(cookbook_ws!C6),"'")</f>
        <v>'hay'</v>
      </c>
      <c r="D6" s="12">
        <f>cookbook_ws!D6</f>
        <v>43391</v>
      </c>
    </row>
    <row r="7" spans="1:4" x14ac:dyDescent="0.3">
      <c r="A7" t="str">
        <f>_xlfn.CONCAT("'",LOWER(cookbook_ws!A7),"'")</f>
        <v>'stirring slowly'</v>
      </c>
      <c r="B7" t="str">
        <f>_xlfn.CONCAT("'",LOWER(cookbook_ws!B7),"'")</f>
        <v>'georgina'</v>
      </c>
      <c r="C7" t="str">
        <f>_xlfn.CONCAT("'",LOWER(cookbook_ws!C7),"'")</f>
        <v>'hayden'</v>
      </c>
      <c r="D7" s="12">
        <f>cookbook_ws!D7</f>
        <v>44987</v>
      </c>
    </row>
    <row r="8" spans="1:4" x14ac:dyDescent="0.3">
      <c r="A8" t="str">
        <f>_xlfn.CONCAT("'",LOWER(cookbook_ws!A8),"'")</f>
        <v>'james every day'</v>
      </c>
      <c r="B8" t="str">
        <f>_xlfn.CONCAT("'",LOWER(cookbook_ws!B8),"'")</f>
        <v>'james'</v>
      </c>
      <c r="C8" t="str">
        <f>_xlfn.CONCAT("'",LOWER(cookbook_ws!C8),"'")</f>
        <v>'martin'</v>
      </c>
      <c r="D8" s="12">
        <f>cookbook_ws!D8</f>
        <v>42985</v>
      </c>
    </row>
    <row r="9" spans="1:4" x14ac:dyDescent="0.3">
      <c r="A9" t="str">
        <f>_xlfn.CONCAT("'",LOWER(cookbook_ws!A9),"'")</f>
        <v>'from the oven to the table'</v>
      </c>
      <c r="B9" t="str">
        <f>_xlfn.CONCAT("'",LOWER(cookbook_ws!B9),"'")</f>
        <v>'diana'</v>
      </c>
      <c r="C9" t="str">
        <f>_xlfn.CONCAT("'",LOWER(cookbook_ws!C9),"'")</f>
        <v>'henry'</v>
      </c>
      <c r="D9" s="12">
        <f>cookbook_ws!D9</f>
        <v>43713</v>
      </c>
    </row>
    <row r="10" spans="1:4" x14ac:dyDescent="0.3">
      <c r="A10" t="str">
        <f>_xlfn.CONCAT("'",LOWER(cookbook_ws!A10),"'")</f>
        <v>'delias happy christmas'</v>
      </c>
      <c r="B10" t="str">
        <f>_xlfn.CONCAT("'",LOWER(cookbook_ws!B10),"'")</f>
        <v>'delia'</v>
      </c>
      <c r="C10" t="str">
        <f>_xlfn.CONCAT("'",LOWER(cookbook_ws!C10),"'")</f>
        <v>'smith'</v>
      </c>
      <c r="D10" s="12">
        <f>cookbook_ws!D10</f>
        <v>40087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F8F8A-BFEE-41CA-A036-AC75C0D9F2FA}">
  <dimension ref="A1:A14"/>
  <sheetViews>
    <sheetView workbookViewId="0">
      <selection activeCell="B23" sqref="B23"/>
    </sheetView>
  </sheetViews>
  <sheetFormatPr defaultRowHeight="14.4" x14ac:dyDescent="0.3"/>
  <cols>
    <col min="1" max="1" width="13.88671875" bestFit="1" customWidth="1"/>
  </cols>
  <sheetData>
    <row r="1" spans="1:1" x14ac:dyDescent="0.3">
      <c r="A1" t="str">
        <f>_xlfn.CONCAT("'",LOWER(others!A1),"'")</f>
        <v>'ingredient_type'</v>
      </c>
    </row>
    <row r="2" spans="1:1" x14ac:dyDescent="0.3">
      <c r="A2" t="str">
        <f>_xlfn.CONCAT("'",LOWER(others!A2),"'")</f>
        <v>'meat'</v>
      </c>
    </row>
    <row r="3" spans="1:1" x14ac:dyDescent="0.3">
      <c r="A3" t="str">
        <f>_xlfn.CONCAT("'",LOWER(others!A3),"'")</f>
        <v>'seafood'</v>
      </c>
    </row>
    <row r="4" spans="1:1" x14ac:dyDescent="0.3">
      <c r="A4" t="str">
        <f>_xlfn.CONCAT("'",LOWER(others!A4),"'")</f>
        <v>'vegetables'</v>
      </c>
    </row>
    <row r="5" spans="1:1" x14ac:dyDescent="0.3">
      <c r="A5" t="str">
        <f>_xlfn.CONCAT("'",LOWER(others!A5),"'")</f>
        <v>'fruits'</v>
      </c>
    </row>
    <row r="6" spans="1:1" x14ac:dyDescent="0.3">
      <c r="A6" t="str">
        <f>_xlfn.CONCAT("'",LOWER(others!A6),"'")</f>
        <v>'grains'</v>
      </c>
    </row>
    <row r="7" spans="1:1" x14ac:dyDescent="0.3">
      <c r="A7" t="str">
        <f>_xlfn.CONCAT("'",LOWER(others!A7),"'")</f>
        <v>'dairy'</v>
      </c>
    </row>
    <row r="8" spans="1:1" x14ac:dyDescent="0.3">
      <c r="A8" t="str">
        <f>_xlfn.CONCAT("'",LOWER(others!A8),"'")</f>
        <v>'herbs'</v>
      </c>
    </row>
    <row r="9" spans="1:1" x14ac:dyDescent="0.3">
      <c r="A9" t="str">
        <f>_xlfn.CONCAT("'",LOWER(others!A9),"'")</f>
        <v>'spices'</v>
      </c>
    </row>
    <row r="10" spans="1:1" x14ac:dyDescent="0.3">
      <c r="A10" t="str">
        <f>_xlfn.CONCAT("'",LOWER(others!A10),"'")</f>
        <v>'oils &amp; fats'</v>
      </c>
    </row>
    <row r="11" spans="1:1" x14ac:dyDescent="0.3">
      <c r="A11" t="str">
        <f>_xlfn.CONCAT("'",LOWER(others!A11),"'")</f>
        <v>'condiments'</v>
      </c>
    </row>
    <row r="12" spans="1:1" x14ac:dyDescent="0.3">
      <c r="A12" t="str">
        <f>_xlfn.CONCAT("'",LOWER(others!A12),"'")</f>
        <v>'nuts &amp; seeds'</v>
      </c>
    </row>
    <row r="13" spans="1:1" x14ac:dyDescent="0.3">
      <c r="A13" t="str">
        <f>_xlfn.CONCAT("'",LOWER(others!A13),"'")</f>
        <v>'seasoning'</v>
      </c>
    </row>
    <row r="14" spans="1:1" x14ac:dyDescent="0.3">
      <c r="A14" t="str">
        <f>_xlfn.CONCAT("'",LOWER(others!A14),"'")</f>
        <v>'others'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E0671-9AA6-4B65-AF59-7F901C4A6830}">
  <dimension ref="A1:A12"/>
  <sheetViews>
    <sheetView workbookViewId="0">
      <selection activeCell="A2" sqref="A2"/>
    </sheetView>
  </sheetViews>
  <sheetFormatPr defaultRowHeight="14.4" x14ac:dyDescent="0.3"/>
  <cols>
    <col min="1" max="1" width="15.44140625" bestFit="1" customWidth="1"/>
  </cols>
  <sheetData>
    <row r="1" spans="1:1" x14ac:dyDescent="0.3">
      <c r="A1" t="str">
        <f>_xlfn.CONCAT("'",LOWER(others!D1),"'")</f>
        <v>'unit_abbreviation'</v>
      </c>
    </row>
    <row r="2" spans="1:1" x14ac:dyDescent="0.3">
      <c r="A2" t="str">
        <f>_xlfn.CONCAT("'",LOWER(others!D2),"'")</f>
        <v>'g'</v>
      </c>
    </row>
    <row r="3" spans="1:1" x14ac:dyDescent="0.3">
      <c r="A3" t="str">
        <f>_xlfn.CONCAT("'",LOWER(others!D3),"'")</f>
        <v>'kg'</v>
      </c>
    </row>
    <row r="4" spans="1:1" x14ac:dyDescent="0.3">
      <c r="A4" t="str">
        <f>_xlfn.CONCAT("'",LOWER(others!D4),"'")</f>
        <v>'ml'</v>
      </c>
    </row>
    <row r="5" spans="1:1" x14ac:dyDescent="0.3">
      <c r="A5" t="str">
        <f>_xlfn.CONCAT("'",LOWER(others!D5),"'")</f>
        <v>'l'</v>
      </c>
    </row>
    <row r="6" spans="1:1" x14ac:dyDescent="0.3">
      <c r="A6" t="str">
        <f>_xlfn.CONCAT("'",LOWER(others!D6),"'")</f>
        <v>'tsp'</v>
      </c>
    </row>
    <row r="7" spans="1:1" x14ac:dyDescent="0.3">
      <c r="A7" t="str">
        <f>_xlfn.CONCAT("'",LOWER(others!D7),"'")</f>
        <v>'tbsp'</v>
      </c>
    </row>
    <row r="8" spans="1:1" x14ac:dyDescent="0.3">
      <c r="A8" t="str">
        <f>_xlfn.CONCAT("'",LOWER(others!D8),"'")</f>
        <v>'each'</v>
      </c>
    </row>
    <row r="9" spans="1:1" x14ac:dyDescent="0.3">
      <c r="A9" t="str">
        <f>_xlfn.CONCAT("'",LOWER(others!D9),"'")</f>
        <v>'clove'</v>
      </c>
    </row>
    <row r="10" spans="1:1" x14ac:dyDescent="0.3">
      <c r="A10" t="str">
        <f>_xlfn.CONCAT("'",LOWER(others!D10),"'")</f>
        <v>'piece'</v>
      </c>
    </row>
    <row r="11" spans="1:1" x14ac:dyDescent="0.3">
      <c r="A11" t="str">
        <f>_xlfn.CONCAT("'",LOWER(others!D11),"'")</f>
        <v>'tin'</v>
      </c>
    </row>
    <row r="12" spans="1:1" x14ac:dyDescent="0.3">
      <c r="A12" t="str">
        <f>_xlfn.CONCAT("'",LOWER(others!D12),"'")</f>
        <v>'bunch'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79D9F-E5EA-48F0-898E-825FD9B76B64}">
  <dimension ref="A1:B84"/>
  <sheetViews>
    <sheetView tabSelected="1" workbookViewId="0">
      <selection activeCell="A8" sqref="A8"/>
    </sheetView>
  </sheetViews>
  <sheetFormatPr defaultRowHeight="14.4" x14ac:dyDescent="0.3"/>
  <cols>
    <col min="1" max="1" width="15.109375" bestFit="1" customWidth="1"/>
    <col min="2" max="2" width="16.109375" bestFit="1" customWidth="1"/>
  </cols>
  <sheetData>
    <row r="1" spans="1:2" x14ac:dyDescent="0.3">
      <c r="A1" t="str">
        <f>LOWER(ingredients_ws!$A1)</f>
        <v>ingredient_name</v>
      </c>
      <c r="B1" t="str">
        <f>LOWER(ingredients_ws!$C1)</f>
        <v>ingredient_type_id</v>
      </c>
    </row>
    <row r="2" spans="1:2" x14ac:dyDescent="0.3">
      <c r="A2" t="str">
        <f>LOWER(ingredients_ws!$A2)</f>
        <v>onion</v>
      </c>
      <c r="B2">
        <f>ingredients_ws!$C2</f>
        <v>3</v>
      </c>
    </row>
    <row r="3" spans="1:2" x14ac:dyDescent="0.3">
      <c r="A3" t="str">
        <f>LOWER(ingredients_ws!$A3)</f>
        <v>garlic clove</v>
      </c>
      <c r="B3">
        <f>ingredients_ws!$C3</f>
        <v>3</v>
      </c>
    </row>
    <row r="4" spans="1:2" x14ac:dyDescent="0.3">
      <c r="A4" t="str">
        <f>LOWER(ingredients_ws!$A4)</f>
        <v>coriander</v>
      </c>
      <c r="B4">
        <f>ingredients_ws!$C4</f>
        <v>7</v>
      </c>
    </row>
    <row r="5" spans="1:2" x14ac:dyDescent="0.3">
      <c r="A5" t="str">
        <f>LOWER(ingredients_ws!$A5)</f>
        <v>berbere spice</v>
      </c>
      <c r="B5">
        <f>ingredients_ws!$C5</f>
        <v>8</v>
      </c>
    </row>
    <row r="6" spans="1:2" x14ac:dyDescent="0.3">
      <c r="A6" t="str">
        <f>LOWER(ingredients_ws!$A6)</f>
        <v>tomato paste</v>
      </c>
      <c r="B6">
        <f>ingredients_ws!$C6</f>
        <v>10</v>
      </c>
    </row>
    <row r="7" spans="1:2" x14ac:dyDescent="0.3">
      <c r="A7" t="str">
        <f>LOWER(ingredients_ws!$A7)</f>
        <v>honey</v>
      </c>
      <c r="B7">
        <f>ingredients_ws!$C7</f>
        <v>10</v>
      </c>
    </row>
    <row r="8" spans="1:2" x14ac:dyDescent="0.3">
      <c r="A8" t="str">
        <f>LOWER(ingredients_ws!$A8)</f>
        <v>apple cider vinegar</v>
      </c>
      <c r="B8">
        <f>ingredients_ws!$C8</f>
        <v>10</v>
      </c>
    </row>
    <row r="9" spans="1:2" x14ac:dyDescent="0.3">
      <c r="A9" t="str">
        <f>LOWER(ingredients_ws!$A9)</f>
        <v>olive oil</v>
      </c>
      <c r="B9">
        <f>ingredients_ws!$C9</f>
        <v>9</v>
      </c>
    </row>
    <row r="10" spans="1:2" x14ac:dyDescent="0.3">
      <c r="A10" t="str">
        <f>LOWER(ingredients_ws!$A10)</f>
        <v>carrots</v>
      </c>
      <c r="B10">
        <f>ingredients_ws!$C10</f>
        <v>3</v>
      </c>
    </row>
    <row r="11" spans="1:2" x14ac:dyDescent="0.3">
      <c r="A11" t="str">
        <f>LOWER(ingredients_ws!$A11)</f>
        <v>tinned chickpeas</v>
      </c>
      <c r="B11">
        <f>ingredients_ws!$C11</f>
        <v>10</v>
      </c>
    </row>
    <row r="12" spans="1:2" x14ac:dyDescent="0.3">
      <c r="A12" t="str">
        <f>LOWER(ingredients_ws!$A12)</f>
        <v>chicken thigh</v>
      </c>
      <c r="B12">
        <f>ingredients_ws!$C12</f>
        <v>1</v>
      </c>
    </row>
    <row r="13" spans="1:2" x14ac:dyDescent="0.3">
      <c r="A13" t="str">
        <f>LOWER(ingredients_ws!$A13)</f>
        <v>oranges</v>
      </c>
      <c r="B13">
        <f>ingredients_ws!$C13</f>
        <v>4</v>
      </c>
    </row>
    <row r="14" spans="1:2" x14ac:dyDescent="0.3">
      <c r="A14" t="str">
        <f>LOWER(ingredients_ws!$A14)</f>
        <v>salt</v>
      </c>
      <c r="B14">
        <f>ingredients_ws!$C14</f>
        <v>12</v>
      </c>
    </row>
    <row r="15" spans="1:2" x14ac:dyDescent="0.3">
      <c r="A15" t="str">
        <f>LOWER(ingredients_ws!$A15)</f>
        <v>black pepper</v>
      </c>
      <c r="B15">
        <f>ingredients_ws!$C15</f>
        <v>8</v>
      </c>
    </row>
    <row r="16" spans="1:2" x14ac:dyDescent="0.3">
      <c r="A16" t="str">
        <f>LOWER(ingredients_ws!$A16)</f>
        <v>salmon fillet</v>
      </c>
      <c r="B16">
        <f>ingredients_ws!$C16</f>
        <v>2</v>
      </c>
    </row>
    <row r="17" spans="1:2" x14ac:dyDescent="0.3">
      <c r="A17" t="str">
        <f>LOWER(ingredients_ws!$A17)</f>
        <v>zaatar</v>
      </c>
      <c r="B17">
        <f>ingredients_ws!$C17</f>
        <v>8</v>
      </c>
    </row>
    <row r="18" spans="1:2" x14ac:dyDescent="0.3">
      <c r="A18" t="str">
        <f>LOWER(ingredients_ws!$A18)</f>
        <v>sumac</v>
      </c>
      <c r="B18">
        <f>ingredients_ws!$C18</f>
        <v>8</v>
      </c>
    </row>
    <row r="19" spans="1:2" x14ac:dyDescent="0.3">
      <c r="A19" t="str">
        <f>LOWER(ingredients_ws!$A19)</f>
        <v>baby spinach</v>
      </c>
      <c r="B19">
        <f>ingredients_ws!$C19</f>
        <v>3</v>
      </c>
    </row>
    <row r="20" spans="1:2" x14ac:dyDescent="0.3">
      <c r="A20" t="str">
        <f>LOWER(ingredients_ws!$A20)</f>
        <v>tahini</v>
      </c>
      <c r="B20">
        <f>ingredients_ws!$C20</f>
        <v>10</v>
      </c>
    </row>
    <row r="21" spans="1:2" x14ac:dyDescent="0.3">
      <c r="A21" t="str">
        <f>LOWER(ingredients_ws!$A21)</f>
        <v>lemon juice</v>
      </c>
      <c r="B21">
        <f>ingredients_ws!$C21</f>
        <v>4</v>
      </c>
    </row>
    <row r="22" spans="1:2" x14ac:dyDescent="0.3">
      <c r="A22" t="str">
        <f>LOWER(ingredients_ws!$A22)</f>
        <v>basmati rice</v>
      </c>
      <c r="B22">
        <f>ingredients_ws!$C22</f>
        <v>5</v>
      </c>
    </row>
    <row r="23" spans="1:2" x14ac:dyDescent="0.3">
      <c r="A23" t="str">
        <f>LOWER(ingredients_ws!$A23)</f>
        <v>unsalted butter</v>
      </c>
      <c r="B23">
        <f>ingredients_ws!$C23</f>
        <v>6</v>
      </c>
    </row>
    <row r="24" spans="1:2" x14ac:dyDescent="0.3">
      <c r="A24" t="str">
        <f>LOWER(ingredients_ws!$A24)</f>
        <v>boiling water</v>
      </c>
      <c r="B24">
        <f>ingredients_ws!$C24</f>
        <v>13</v>
      </c>
    </row>
    <row r="25" spans="1:2" x14ac:dyDescent="0.3">
      <c r="A25" t="str">
        <f>LOWER(ingredients_ws!$A25)</f>
        <v>mint</v>
      </c>
      <c r="B25">
        <f>ingredients_ws!$C25</f>
        <v>7</v>
      </c>
    </row>
    <row r="26" spans="1:2" x14ac:dyDescent="0.3">
      <c r="A26" t="str">
        <f>LOWER(ingredients_ws!$A26)</f>
        <v>feta</v>
      </c>
      <c r="B26">
        <f>ingredients_ws!$C26</f>
        <v>6</v>
      </c>
    </row>
    <row r="27" spans="1:2" x14ac:dyDescent="0.3">
      <c r="A27" t="str">
        <f>LOWER(ingredients_ws!$A27)</f>
        <v>pitted green olives</v>
      </c>
      <c r="B27">
        <f>ingredients_ws!$C27</f>
        <v>13</v>
      </c>
    </row>
    <row r="28" spans="1:2" x14ac:dyDescent="0.3">
      <c r="A28" t="str">
        <f>LOWER(ingredients_ws!$A28)</f>
        <v>pomegranate seeds</v>
      </c>
      <c r="B28">
        <f>ingredients_ws!$C28</f>
        <v>4</v>
      </c>
    </row>
    <row r="29" spans="1:2" x14ac:dyDescent="0.3">
      <c r="A29" t="str">
        <f>LOWER(ingredients_ws!$A29)</f>
        <v>walnut</v>
      </c>
      <c r="B29">
        <f>ingredients_ws!$C29</f>
        <v>11</v>
      </c>
    </row>
    <row r="30" spans="1:2" x14ac:dyDescent="0.3">
      <c r="A30" t="str">
        <f>LOWER(ingredients_ws!$A30)</f>
        <v>pomegranate molasses</v>
      </c>
      <c r="B30">
        <f>ingredients_ws!$C30</f>
        <v>10</v>
      </c>
    </row>
    <row r="31" spans="1:2" x14ac:dyDescent="0.3">
      <c r="A31" t="str">
        <f>LOWER(ingredients_ws!$A31)</f>
        <v>cherry tomato</v>
      </c>
      <c r="B31">
        <f>ingredients_ws!$C31</f>
        <v>3</v>
      </c>
    </row>
    <row r="32" spans="1:2" x14ac:dyDescent="0.3">
      <c r="A32" t="str">
        <f>LOWER(ingredients_ws!$A32)</f>
        <v>shallots</v>
      </c>
      <c r="B32">
        <f>ingredients_ws!$C32</f>
        <v>3</v>
      </c>
    </row>
    <row r="33" spans="1:2" x14ac:dyDescent="0.3">
      <c r="A33" t="str">
        <f>LOWER(ingredients_ws!$A33)</f>
        <v>thyme</v>
      </c>
      <c r="B33">
        <f>ingredients_ws!$C33</f>
        <v>7</v>
      </c>
    </row>
    <row r="34" spans="1:2" x14ac:dyDescent="0.3">
      <c r="A34" t="str">
        <f>LOWER(ingredients_ws!$A34)</f>
        <v>cinnamon stick</v>
      </c>
      <c r="B34">
        <f>ingredients_ws!$C34</f>
        <v>8</v>
      </c>
    </row>
    <row r="35" spans="1:2" x14ac:dyDescent="0.3">
      <c r="A35" t="str">
        <f>LOWER(ingredients_ws!$A35)</f>
        <v>potato</v>
      </c>
      <c r="B35">
        <f>ingredients_ws!$C35</f>
        <v>3</v>
      </c>
    </row>
    <row r="36" spans="1:2" x14ac:dyDescent="0.3">
      <c r="A36" t="str">
        <f>LOWER(ingredients_ws!$A36)</f>
        <v>flaked salt</v>
      </c>
      <c r="B36">
        <f>ingredients_ws!$C36</f>
        <v>12</v>
      </c>
    </row>
    <row r="37" spans="1:2" x14ac:dyDescent="0.3">
      <c r="A37" t="str">
        <f>LOWER(ingredients_ws!$A37)</f>
        <v>tinned tuna</v>
      </c>
      <c r="B37">
        <f>ingredients_ws!$C37</f>
        <v>2</v>
      </c>
    </row>
    <row r="38" spans="1:2" x14ac:dyDescent="0.3">
      <c r="A38" t="str">
        <f>LOWER(ingredients_ws!$A38)</f>
        <v>chives</v>
      </c>
      <c r="B38">
        <f>ingredients_ws!$C38</f>
        <v>7</v>
      </c>
    </row>
    <row r="39" spans="1:2" x14ac:dyDescent="0.3">
      <c r="A39" t="str">
        <f>LOWER(ingredients_ws!$A39)</f>
        <v>basil</v>
      </c>
      <c r="B39">
        <f>ingredients_ws!$C39</f>
        <v>7</v>
      </c>
    </row>
    <row r="40" spans="1:2" x14ac:dyDescent="0.3">
      <c r="A40" t="str">
        <f>LOWER(ingredients_ws!$A40)</f>
        <v>double cream</v>
      </c>
      <c r="B40">
        <f>ingredients_ws!$C40</f>
        <v>6</v>
      </c>
    </row>
    <row r="41" spans="1:2" x14ac:dyDescent="0.3">
      <c r="A41" t="str">
        <f>LOWER(ingredients_ws!$A41)</f>
        <v>parmesan</v>
      </c>
      <c r="B41">
        <f>ingredients_ws!$C41</f>
        <v>6</v>
      </c>
    </row>
    <row r="42" spans="1:2" x14ac:dyDescent="0.3">
      <c r="A42" t="str">
        <f>LOWER(ingredients_ws!$A42)</f>
        <v>tomato</v>
      </c>
      <c r="B42">
        <f>ingredients_ws!$C42</f>
        <v>3</v>
      </c>
    </row>
    <row r="43" spans="1:2" x14ac:dyDescent="0.3">
      <c r="A43" t="str">
        <f>LOWER(ingredients_ws!$A43)</f>
        <v>orange</v>
      </c>
      <c r="B43">
        <f>ingredients_ws!$C43</f>
        <v>4</v>
      </c>
    </row>
    <row r="44" spans="1:2" x14ac:dyDescent="0.3">
      <c r="A44" t="str">
        <f>LOWER(ingredients_ws!$A44)</f>
        <v>filo</v>
      </c>
      <c r="B44">
        <f>ingredients_ws!$C44</f>
        <v>5</v>
      </c>
    </row>
    <row r="45" spans="1:2" x14ac:dyDescent="0.3">
      <c r="A45" t="str">
        <f>LOWER(ingredients_ws!$A45)</f>
        <v>caster sugar</v>
      </c>
      <c r="B45">
        <f>ingredients_ws!$C45</f>
        <v>10</v>
      </c>
    </row>
    <row r="46" spans="1:2" x14ac:dyDescent="0.3">
      <c r="A46" t="str">
        <f>LOWER(ingredients_ws!$A46)</f>
        <v>greek yoghurt</v>
      </c>
      <c r="B46">
        <f>ingredients_ws!$C46</f>
        <v>6</v>
      </c>
    </row>
    <row r="47" spans="1:2" x14ac:dyDescent="0.3">
      <c r="A47" t="str">
        <f>LOWER(ingredients_ws!$A47)</f>
        <v>egg</v>
      </c>
      <c r="B47">
        <f>ingredients_ws!$C47</f>
        <v>6</v>
      </c>
    </row>
    <row r="48" spans="1:2" x14ac:dyDescent="0.3">
      <c r="A48" t="str">
        <f>LOWER(ingredients_ws!$A48)</f>
        <v>baking powder</v>
      </c>
      <c r="B48">
        <f>ingredients_ws!$C48</f>
        <v>10</v>
      </c>
    </row>
    <row r="49" spans="1:2" x14ac:dyDescent="0.3">
      <c r="A49" t="str">
        <f>LOWER(ingredients_ws!$A49)</f>
        <v>vanilla extract</v>
      </c>
      <c r="B49">
        <f>ingredients_ws!$C49</f>
        <v>10</v>
      </c>
    </row>
    <row r="50" spans="1:2" x14ac:dyDescent="0.3">
      <c r="A50" t="str">
        <f>LOWER(ingredients_ws!$A50)</f>
        <v>wholemeal spelt flour</v>
      </c>
      <c r="B50">
        <f>ingredients_ws!$C50</f>
        <v>5</v>
      </c>
    </row>
    <row r="51" spans="1:2" x14ac:dyDescent="0.3">
      <c r="A51" t="str">
        <f>LOWER(ingredients_ws!$A51)</f>
        <v>wholemeal plain flour</v>
      </c>
      <c r="B51">
        <f>ingredients_ws!$C51</f>
        <v>5</v>
      </c>
    </row>
    <row r="52" spans="1:2" x14ac:dyDescent="0.3">
      <c r="A52" t="str">
        <f>LOWER(ingredients_ws!$A52)</f>
        <v>ground cinnamon</v>
      </c>
      <c r="B52">
        <f>ingredients_ws!$C52</f>
        <v>8</v>
      </c>
    </row>
    <row r="53" spans="1:2" x14ac:dyDescent="0.3">
      <c r="A53" t="str">
        <f>LOWER(ingredients_ws!$A53)</f>
        <v>maple syrup</v>
      </c>
      <c r="B53">
        <f>ingredients_ws!$C53</f>
        <v>10</v>
      </c>
    </row>
    <row r="54" spans="1:2" x14ac:dyDescent="0.3">
      <c r="A54" t="str">
        <f>LOWER(ingredients_ws!$A54)</f>
        <v>milk</v>
      </c>
      <c r="B54">
        <f>ingredients_ws!$C54</f>
        <v>6</v>
      </c>
    </row>
    <row r="55" spans="1:2" x14ac:dyDescent="0.3">
      <c r="A55" t="str">
        <f>LOWER(ingredients_ws!$A55)</f>
        <v>frozen blueberry</v>
      </c>
      <c r="B55">
        <f>ingredients_ws!$C55</f>
        <v>4</v>
      </c>
    </row>
    <row r="56" spans="1:2" x14ac:dyDescent="0.3">
      <c r="A56" t="str">
        <f>LOWER(ingredients_ws!$A56)</f>
        <v>ginger</v>
      </c>
      <c r="B56">
        <f>ingredients_ws!$C56</f>
        <v>3</v>
      </c>
    </row>
    <row r="57" spans="1:2" x14ac:dyDescent="0.3">
      <c r="A57" t="str">
        <f>LOWER(ingredients_ws!$A57)</f>
        <v>green chilli</v>
      </c>
      <c r="B57">
        <f>ingredients_ws!$C57</f>
        <v>3</v>
      </c>
    </row>
    <row r="58" spans="1:2" x14ac:dyDescent="0.3">
      <c r="A58" t="str">
        <f>LOWER(ingredients_ws!$A58)</f>
        <v>aubergine</v>
      </c>
      <c r="B58">
        <f>ingredients_ws!$C58</f>
        <v>3</v>
      </c>
    </row>
    <row r="59" spans="1:2" x14ac:dyDescent="0.3">
      <c r="A59" t="str">
        <f>LOWER(ingredients_ws!$A59)</f>
        <v>spring onion</v>
      </c>
      <c r="B59">
        <f>ingredients_ws!$C59</f>
        <v>3</v>
      </c>
    </row>
    <row r="60" spans="1:2" x14ac:dyDescent="0.3">
      <c r="A60" t="str">
        <f>LOWER(ingredients_ws!$A60)</f>
        <v>lime</v>
      </c>
      <c r="B60">
        <f>ingredients_ws!$C60</f>
        <v>4</v>
      </c>
    </row>
    <row r="61" spans="1:2" x14ac:dyDescent="0.3">
      <c r="A61" t="str">
        <f>LOWER(ingredients_ws!$A61)</f>
        <v>tamarind paste</v>
      </c>
      <c r="B61">
        <f>ingredients_ws!$C61</f>
        <v>10</v>
      </c>
    </row>
    <row r="62" spans="1:2" x14ac:dyDescent="0.3">
      <c r="A62" t="str">
        <f>LOWER(ingredients_ws!$A62)</f>
        <v>miso</v>
      </c>
      <c r="B62">
        <f>ingredients_ws!$C62</f>
        <v>10</v>
      </c>
    </row>
    <row r="63" spans="1:2" x14ac:dyDescent="0.3">
      <c r="A63" t="str">
        <f>LOWER(ingredients_ws!$A63)</f>
        <v>dijon mustard</v>
      </c>
      <c r="B63">
        <f>ingredients_ws!$C63</f>
        <v>10</v>
      </c>
    </row>
    <row r="64" spans="1:2" x14ac:dyDescent="0.3">
      <c r="A64" t="str">
        <f>LOWER(ingredients_ws!$A64)</f>
        <v>pork joint</v>
      </c>
      <c r="B64">
        <f>ingredients_ws!$C64</f>
        <v>1</v>
      </c>
    </row>
    <row r="65" spans="1:2" x14ac:dyDescent="0.3">
      <c r="A65" t="str">
        <f>LOWER(ingredients_ws!$A65)</f>
        <v>chicken stock</v>
      </c>
      <c r="B65">
        <f>ingredients_ws!$C65</f>
        <v>10</v>
      </c>
    </row>
    <row r="66" spans="1:2" x14ac:dyDescent="0.3">
      <c r="A66" t="str">
        <f>LOWER(ingredients_ws!$A66)</f>
        <v>balsamic vinegar</v>
      </c>
      <c r="B66">
        <f>ingredients_ws!$C66</f>
        <v>10</v>
      </c>
    </row>
    <row r="67" spans="1:2" x14ac:dyDescent="0.3">
      <c r="A67" t="str">
        <f>LOWER(ingredients_ws!$A67)</f>
        <v>tinned butter beans</v>
      </c>
      <c r="B67">
        <f>ingredients_ws!$C67</f>
        <v>10</v>
      </c>
    </row>
    <row r="68" spans="1:2" x14ac:dyDescent="0.3">
      <c r="A68" t="str">
        <f>LOWER(ingredients_ws!$A68)</f>
        <v>butter</v>
      </c>
      <c r="B68">
        <f>ingredients_ws!$C68</f>
        <v>6</v>
      </c>
    </row>
    <row r="69" spans="1:2" x14ac:dyDescent="0.3">
      <c r="A69" t="str">
        <f>LOWER(ingredients_ws!$A69)</f>
        <v>parsley</v>
      </c>
      <c r="B69">
        <f>ingredients_ws!$C69</f>
        <v>7</v>
      </c>
    </row>
    <row r="70" spans="1:2" x14ac:dyDescent="0.3">
      <c r="A70" t="str">
        <f>LOWER(ingredients_ws!$A70)</f>
        <v>oregano</v>
      </c>
      <c r="B70">
        <f>ingredients_ws!$C70</f>
        <v>7</v>
      </c>
    </row>
    <row r="71" spans="1:2" x14ac:dyDescent="0.3">
      <c r="A71" t="str">
        <f>LOWER(ingredients_ws!$A71)</f>
        <v>dill</v>
      </c>
      <c r="B71">
        <f>ingredients_ws!$C71</f>
        <v>7</v>
      </c>
    </row>
    <row r="72" spans="1:2" x14ac:dyDescent="0.3">
      <c r="A72" t="str">
        <f>LOWER(ingredients_ws!$A72)</f>
        <v>fennel bulb</v>
      </c>
      <c r="B72">
        <f>ingredients_ws!$C72</f>
        <v>3</v>
      </c>
    </row>
    <row r="73" spans="1:2" x14ac:dyDescent="0.3">
      <c r="A73" t="str">
        <f>LOWER(ingredients_ws!$A73)</f>
        <v>fennel seeds</v>
      </c>
      <c r="B73">
        <f>ingredients_ws!$C73</f>
        <v>8</v>
      </c>
    </row>
    <row r="74" spans="1:2" x14ac:dyDescent="0.3">
      <c r="A74" t="str">
        <f>LOWER(ingredients_ws!$A74)</f>
        <v>chilli flake</v>
      </c>
      <c r="B74">
        <f>ingredients_ws!$C74</f>
        <v>8</v>
      </c>
    </row>
    <row r="75" spans="1:2" x14ac:dyDescent="0.3">
      <c r="A75" t="str">
        <f>LOWER(ingredients_ws!$A75)</f>
        <v>salt flake</v>
      </c>
      <c r="B75">
        <f>ingredients_ws!$C75</f>
        <v>12</v>
      </c>
    </row>
    <row r="76" spans="1:2" x14ac:dyDescent="0.3">
      <c r="A76" t="str">
        <f>LOWER(ingredients_ws!$A76)</f>
        <v>dried mushroom</v>
      </c>
      <c r="B76">
        <f>ingredients_ws!$C76</f>
        <v>3</v>
      </c>
    </row>
    <row r="77" spans="1:2" x14ac:dyDescent="0.3">
      <c r="A77" t="str">
        <f>LOWER(ingredients_ws!$A77)</f>
        <v>mushroom</v>
      </c>
      <c r="B77">
        <f>ingredients_ws!$C77</f>
        <v>3</v>
      </c>
    </row>
    <row r="78" spans="1:2" x14ac:dyDescent="0.3">
      <c r="A78" t="str">
        <f>LOWER(ingredients_ws!$A78)</f>
        <v xml:space="preserve">celery </v>
      </c>
      <c r="B78">
        <f>ingredients_ws!$C78</f>
        <v>3</v>
      </c>
    </row>
    <row r="79" spans="1:2" x14ac:dyDescent="0.3">
      <c r="A79" t="str">
        <f>LOWER(ingredients_ws!$A79)</f>
        <v>leek</v>
      </c>
      <c r="B79">
        <f>ingredients_ws!$C79</f>
        <v>3</v>
      </c>
    </row>
    <row r="80" spans="1:2" x14ac:dyDescent="0.3">
      <c r="A80" t="str">
        <f>LOWER(ingredients_ws!$A80)</f>
        <v>bay leaves</v>
      </c>
      <c r="B80">
        <f>ingredients_ws!$C80</f>
        <v>7</v>
      </c>
    </row>
    <row r="81" spans="1:2" x14ac:dyDescent="0.3">
      <c r="A81" t="str">
        <f>LOWER(ingredients_ws!$A81)</f>
        <v>vegetable stock</v>
      </c>
      <c r="B81">
        <f>ingredients_ws!$C81</f>
        <v>10</v>
      </c>
    </row>
    <row r="82" spans="1:2" x14ac:dyDescent="0.3">
      <c r="A82" t="str">
        <f>LOWER(ingredients_ws!$A82)</f>
        <v>small mushroom</v>
      </c>
      <c r="B82">
        <f>ingredients_ws!$C82</f>
        <v>3</v>
      </c>
    </row>
    <row r="83" spans="1:2" x14ac:dyDescent="0.3">
      <c r="A83" t="str">
        <f>LOWER(ingredients_ws!$A83)</f>
        <v>single cream</v>
      </c>
      <c r="B83">
        <f>ingredients_ws!$C83</f>
        <v>6</v>
      </c>
    </row>
    <row r="84" spans="1:2" x14ac:dyDescent="0.3">
      <c r="A84" t="str">
        <f>LOWER(ingredients_ws!$A84)</f>
        <v>dry sherry</v>
      </c>
      <c r="B84">
        <f>ingredients_ws!$C84</f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821EB-D7B4-46FF-9812-E0B132FF6DBB}">
  <dimension ref="A1:E12"/>
  <sheetViews>
    <sheetView workbookViewId="0">
      <selection activeCell="E19" sqref="E19"/>
    </sheetView>
  </sheetViews>
  <sheetFormatPr defaultRowHeight="14.4" x14ac:dyDescent="0.3"/>
  <cols>
    <col min="1" max="1" width="27.5546875" bestFit="1" customWidth="1"/>
    <col min="2" max="2" width="9.88671875" bestFit="1" customWidth="1"/>
    <col min="3" max="4" width="12.21875" bestFit="1" customWidth="1"/>
    <col min="5" max="5" width="12.6640625" bestFit="1" customWidth="1"/>
  </cols>
  <sheetData>
    <row r="1" spans="1:5" x14ac:dyDescent="0.3">
      <c r="A1" t="str">
        <f>LOWER(recipes_ws!A1)</f>
        <v>recipe_name</v>
      </c>
      <c r="B1" t="str">
        <f>LOWER(recipes_ws!B1)</f>
        <v>prep_time</v>
      </c>
      <c r="C1" t="str">
        <f>LOWER(recipes_ws!C1)</f>
        <v>cooking_time</v>
      </c>
      <c r="D1" t="str">
        <f>LOWER(recipes_ws!D1)</f>
        <v>cooking_date</v>
      </c>
      <c r="E1" t="str">
        <f>LOWER(recipes_ws!F1)</f>
        <v>cookbook_id</v>
      </c>
    </row>
    <row r="2" spans="1:5" x14ac:dyDescent="0.3">
      <c r="A2" t="str">
        <f>LOWER(recipes_ws!A2)</f>
        <v>berbere spiced chicken</v>
      </c>
      <c r="B2" s="14">
        <f>recipes_ws!B2</f>
        <v>1.7361111111111112E-2</v>
      </c>
      <c r="C2" s="14">
        <f>recipes_ws!C2</f>
        <v>5.9027777777777776E-2</v>
      </c>
      <c r="D2" s="12">
        <f>recipes_ws!D2</f>
        <v>45942</v>
      </c>
      <c r="E2">
        <f>recipes_ws!F2</f>
        <v>1</v>
      </c>
    </row>
    <row r="3" spans="1:5" x14ac:dyDescent="0.3">
      <c r="A3" t="str">
        <f>LOWER(recipes_ws!A3)</f>
        <v>zaatar salmon</v>
      </c>
      <c r="B3" s="14">
        <f>recipes_ws!B3</f>
        <v>3.472222222222222E-3</v>
      </c>
      <c r="C3" s="14">
        <f>recipes_ws!C3</f>
        <v>1.3888888888888888E-2</v>
      </c>
      <c r="D3" s="12">
        <f>recipes_ws!D3</f>
        <v>45988</v>
      </c>
      <c r="E3">
        <f>recipes_ws!F3</f>
        <v>1</v>
      </c>
    </row>
    <row r="4" spans="1:5" x14ac:dyDescent="0.3">
      <c r="A4" t="str">
        <f>LOWER(recipes_ws!A4)</f>
        <v>baked mint rice</v>
      </c>
      <c r="B4" s="14">
        <f>recipes_ws!B4</f>
        <v>3.472222222222222E-3</v>
      </c>
      <c r="C4" s="14">
        <f>recipes_ws!C4</f>
        <v>1.7361111111111112E-2</v>
      </c>
      <c r="D4" s="12">
        <f>recipes_ws!D4</f>
        <v>45988</v>
      </c>
      <c r="E4">
        <f>recipes_ws!F4</f>
        <v>2</v>
      </c>
    </row>
    <row r="5" spans="1:5" x14ac:dyDescent="0.3">
      <c r="A5" t="str">
        <f>LOWER(recipes_ws!A5)</f>
        <v>baked rice with tomato and garlic</v>
      </c>
      <c r="B5" s="14">
        <f>recipes_ws!B5</f>
        <v>1.0416666666666666E-2</v>
      </c>
      <c r="C5" s="14">
        <f>recipes_ws!C5</f>
        <v>6.9444444444444448E-2</v>
      </c>
      <c r="D5" s="12">
        <f>recipes_ws!D5</f>
        <v>46107</v>
      </c>
      <c r="E5">
        <f>recipes_ws!F5</f>
        <v>2</v>
      </c>
    </row>
    <row r="6" spans="1:5" x14ac:dyDescent="0.3">
      <c r="A6" t="str">
        <f>LOWER(recipes_ws!A6)</f>
        <v>tv chips</v>
      </c>
      <c r="B6" s="14">
        <f>recipes_ws!B6</f>
        <v>6.9444444444444441E-3</v>
      </c>
      <c r="C6" s="14">
        <f>recipes_ws!C6</f>
        <v>3.8194444444444448E-2</v>
      </c>
      <c r="D6" s="12">
        <f>recipes_ws!D6</f>
        <v>46116</v>
      </c>
      <c r="E6">
        <f>recipes_ws!F6</f>
        <v>3</v>
      </c>
    </row>
    <row r="7" spans="1:5" x14ac:dyDescent="0.3">
      <c r="A7" t="str">
        <f>LOWER(recipes_ws!A7)</f>
        <v>portokalopita</v>
      </c>
      <c r="B7" s="14">
        <f>recipes_ws!B7</f>
        <v>6.25E-2</v>
      </c>
      <c r="C7" s="14">
        <f>recipes_ws!C7</f>
        <v>5.5555555555555552E-2</v>
      </c>
      <c r="D7" s="12">
        <f>recipes_ws!D7</f>
        <v>46114</v>
      </c>
      <c r="E7">
        <f>recipes_ws!F7</f>
        <v>4</v>
      </c>
    </row>
    <row r="8" spans="1:5" x14ac:dyDescent="0.3">
      <c r="A8" t="str">
        <f>LOWER(recipes_ws!A8)</f>
        <v>blueberry muffins</v>
      </c>
      <c r="B8" s="14">
        <f>recipes_ws!B8</f>
        <v>6.9444444444444441E-3</v>
      </c>
      <c r="C8" s="14">
        <f>recipes_ws!C8</f>
        <v>2.0833333333333332E-2</v>
      </c>
      <c r="D8" s="12">
        <f>recipes_ws!D8</f>
        <v>46127</v>
      </c>
      <c r="E8">
        <f>recipes_ws!F8</f>
        <v>5</v>
      </c>
    </row>
    <row r="9" spans="1:5" x14ac:dyDescent="0.3">
      <c r="A9" t="str">
        <f>LOWER(recipes_ws!A9)</f>
        <v>roasted aubergine</v>
      </c>
      <c r="B9" s="14">
        <f>recipes_ws!B9</f>
        <v>6.9444444444444441E-3</v>
      </c>
      <c r="C9" s="14">
        <f>recipes_ws!C9</f>
        <v>4.1666666666666664E-2</v>
      </c>
      <c r="D9" s="12">
        <f>recipes_ws!D9</f>
        <v>46122</v>
      </c>
      <c r="E9">
        <f>recipes_ws!F9</f>
        <v>6</v>
      </c>
    </row>
    <row r="10" spans="1:5" x14ac:dyDescent="0.3">
      <c r="A10" t="str">
        <f>LOWER(recipes_ws!A10)</f>
        <v>roast pork</v>
      </c>
      <c r="B10" s="14">
        <f>recipes_ws!B10</f>
        <v>6.9444444444444441E-3</v>
      </c>
      <c r="C10" s="14">
        <f>recipes_ws!C10</f>
        <v>8.3333333333333329E-2</v>
      </c>
      <c r="D10" s="12">
        <f>recipes_ws!D10</f>
        <v>46129</v>
      </c>
      <c r="E10">
        <f>recipes_ws!F10</f>
        <v>7</v>
      </c>
    </row>
    <row r="11" spans="1:5" x14ac:dyDescent="0.3">
      <c r="A11" t="str">
        <f>LOWER(recipes_ws!A11)</f>
        <v>baked fennel</v>
      </c>
      <c r="B11" s="14">
        <f>recipes_ws!B11</f>
        <v>6.9444444444444441E-3</v>
      </c>
      <c r="C11" s="14">
        <f>recipes_ws!C11</f>
        <v>2.7777777777777776E-2</v>
      </c>
      <c r="D11" s="12">
        <f>recipes_ws!D11</f>
        <v>46073</v>
      </c>
      <c r="E11">
        <f>recipes_ws!F11</f>
        <v>8</v>
      </c>
    </row>
    <row r="12" spans="1:5" x14ac:dyDescent="0.3">
      <c r="A12" t="str">
        <f>LOWER(recipes_ws!A12)</f>
        <v>wild mushroom &amp; walnut soup</v>
      </c>
      <c r="B12" s="14">
        <f>recipes_ws!B12</f>
        <v>1.3888888888888888E-2</v>
      </c>
      <c r="C12" s="14">
        <f>recipes_ws!C12</f>
        <v>7.2916666666666671E-2</v>
      </c>
      <c r="D12" s="12">
        <f>recipes_ws!D12</f>
        <v>46013</v>
      </c>
      <c r="E12">
        <f>recipes_ws!F12</f>
        <v>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5A88D-2988-4425-A22B-AB19077F96AA}">
  <dimension ref="A1:D132"/>
  <sheetViews>
    <sheetView workbookViewId="0">
      <selection activeCell="F8" sqref="F8"/>
    </sheetView>
  </sheetViews>
  <sheetFormatPr defaultRowHeight="14.4" x14ac:dyDescent="0.3"/>
  <cols>
    <col min="1" max="1" width="8.33203125" bestFit="1" customWidth="1"/>
    <col min="2" max="2" width="11.88671875" bestFit="1" customWidth="1"/>
    <col min="3" max="3" width="16.88671875" bestFit="1" customWidth="1"/>
    <col min="4" max="4" width="6.88671875" bestFit="1" customWidth="1"/>
  </cols>
  <sheetData>
    <row r="1" spans="1:4" x14ac:dyDescent="0.3">
      <c r="A1" t="str">
        <f>recipes_ingredients_ws!$B1</f>
        <v>recipe_id</v>
      </c>
      <c r="B1" t="str">
        <f>recipes_ingredients_ws!$D1</f>
        <v>ingredient_id</v>
      </c>
      <c r="C1" t="str">
        <f>recipes_ingredients_ws!$E1</f>
        <v>ingredient_quantity</v>
      </c>
      <c r="D1" t="str">
        <f>recipes_ingredients_ws!$G1</f>
        <v>unit_id</v>
      </c>
    </row>
    <row r="2" spans="1:4" x14ac:dyDescent="0.3">
      <c r="A2">
        <f>recipes_ingredients_ws!$B2</f>
        <v>1</v>
      </c>
      <c r="B2">
        <f>recipes_ingredients_ws!$D2</f>
        <v>1</v>
      </c>
      <c r="C2">
        <f>recipes_ingredients_ws!$E2</f>
        <v>1</v>
      </c>
      <c r="D2">
        <f>recipes_ingredients_ws!$G2</f>
        <v>7</v>
      </c>
    </row>
    <row r="3" spans="1:4" x14ac:dyDescent="0.3">
      <c r="A3">
        <f>recipes_ingredients_ws!$B3</f>
        <v>1</v>
      </c>
      <c r="B3">
        <f>recipes_ingredients_ws!$D3</f>
        <v>2</v>
      </c>
      <c r="C3">
        <f>recipes_ingredients_ws!$E3</f>
        <v>6</v>
      </c>
      <c r="D3">
        <f>recipes_ingredients_ws!$G3</f>
        <v>8</v>
      </c>
    </row>
    <row r="4" spans="1:4" x14ac:dyDescent="0.3">
      <c r="A4">
        <f>recipes_ingredients_ws!$B4</f>
        <v>1</v>
      </c>
      <c r="B4">
        <f>recipes_ingredients_ws!$D4</f>
        <v>3</v>
      </c>
      <c r="C4">
        <f>recipes_ingredients_ws!$E4</f>
        <v>45</v>
      </c>
      <c r="D4">
        <f>recipes_ingredients_ws!$G4</f>
        <v>1</v>
      </c>
    </row>
    <row r="5" spans="1:4" x14ac:dyDescent="0.3">
      <c r="A5">
        <f>recipes_ingredients_ws!$B5</f>
        <v>1</v>
      </c>
      <c r="B5">
        <f>recipes_ingredients_ws!$D5</f>
        <v>4</v>
      </c>
      <c r="C5">
        <f>recipes_ingredients_ws!$E5</f>
        <v>2.5</v>
      </c>
      <c r="D5">
        <f>recipes_ingredients_ws!$G5</f>
        <v>6</v>
      </c>
    </row>
    <row r="6" spans="1:4" x14ac:dyDescent="0.3">
      <c r="A6">
        <f>recipes_ingredients_ws!$B6</f>
        <v>1</v>
      </c>
      <c r="B6">
        <f>recipes_ingredients_ws!$D6</f>
        <v>5</v>
      </c>
      <c r="C6">
        <f>recipes_ingredients_ws!$E6</f>
        <v>2</v>
      </c>
      <c r="D6">
        <f>recipes_ingredients_ws!$G6</f>
        <v>6</v>
      </c>
    </row>
    <row r="7" spans="1:4" x14ac:dyDescent="0.3">
      <c r="A7">
        <f>recipes_ingredients_ws!$B7</f>
        <v>1</v>
      </c>
      <c r="B7">
        <f>recipes_ingredients_ws!$D7</f>
        <v>6</v>
      </c>
      <c r="C7">
        <f>recipes_ingredients_ws!$E7</f>
        <v>2.5</v>
      </c>
      <c r="D7">
        <f>recipes_ingredients_ws!$G7</f>
        <v>6</v>
      </c>
    </row>
    <row r="8" spans="1:4" x14ac:dyDescent="0.3">
      <c r="A8">
        <f>recipes_ingredients_ws!$B8</f>
        <v>1</v>
      </c>
      <c r="B8">
        <f>recipes_ingredients_ws!$D8</f>
        <v>7</v>
      </c>
      <c r="C8">
        <f>recipes_ingredients_ws!$E8</f>
        <v>3</v>
      </c>
      <c r="D8">
        <f>recipes_ingredients_ws!$G8</f>
        <v>6</v>
      </c>
    </row>
    <row r="9" spans="1:4" x14ac:dyDescent="0.3">
      <c r="A9">
        <f>recipes_ingredients_ws!$B9</f>
        <v>1</v>
      </c>
      <c r="B9">
        <f>recipes_ingredients_ws!$D9</f>
        <v>8</v>
      </c>
      <c r="C9">
        <f>recipes_ingredients_ws!$E9</f>
        <v>90</v>
      </c>
      <c r="D9">
        <f>recipes_ingredients_ws!$G9</f>
        <v>3</v>
      </c>
    </row>
    <row r="10" spans="1:4" x14ac:dyDescent="0.3">
      <c r="A10">
        <f>recipes_ingredients_ws!$B10</f>
        <v>1</v>
      </c>
      <c r="B10">
        <f>recipes_ingredients_ws!$D10</f>
        <v>9</v>
      </c>
      <c r="C10">
        <f>recipes_ingredients_ws!$E10</f>
        <v>800</v>
      </c>
      <c r="D10">
        <f>recipes_ingredients_ws!$G10</f>
        <v>1</v>
      </c>
    </row>
    <row r="11" spans="1:4" x14ac:dyDescent="0.3">
      <c r="A11">
        <f>recipes_ingredients_ws!$B11</f>
        <v>1</v>
      </c>
      <c r="B11">
        <f>recipes_ingredients_ws!$D11</f>
        <v>10</v>
      </c>
      <c r="C11">
        <f>recipes_ingredients_ws!$E11</f>
        <v>2</v>
      </c>
      <c r="D11">
        <f>recipes_ingredients_ws!$G11</f>
        <v>10</v>
      </c>
    </row>
    <row r="12" spans="1:4" x14ac:dyDescent="0.3">
      <c r="A12">
        <f>recipes_ingredients_ws!$B12</f>
        <v>1</v>
      </c>
      <c r="B12">
        <f>recipes_ingredients_ws!$D12</f>
        <v>11</v>
      </c>
      <c r="C12">
        <f>recipes_ingredients_ws!$E12</f>
        <v>8</v>
      </c>
      <c r="D12">
        <f>recipes_ingredients_ws!$G12</f>
        <v>9</v>
      </c>
    </row>
    <row r="13" spans="1:4" x14ac:dyDescent="0.3">
      <c r="A13">
        <f>recipes_ingredients_ws!$B13</f>
        <v>1</v>
      </c>
      <c r="B13">
        <f>recipes_ingredients_ws!$D13</f>
        <v>12</v>
      </c>
      <c r="C13">
        <f>recipes_ingredients_ws!$E13</f>
        <v>3</v>
      </c>
      <c r="D13">
        <f>recipes_ingredients_ws!$G13</f>
        <v>7</v>
      </c>
    </row>
    <row r="14" spans="1:4" x14ac:dyDescent="0.3">
      <c r="A14">
        <f>recipes_ingredients_ws!$B14</f>
        <v>1</v>
      </c>
      <c r="B14">
        <f>recipes_ingredients_ws!$D14</f>
        <v>13</v>
      </c>
      <c r="C14">
        <f>recipes_ingredients_ws!$E14</f>
        <v>0.1</v>
      </c>
      <c r="D14">
        <f>recipes_ingredients_ws!$G14</f>
        <v>5</v>
      </c>
    </row>
    <row r="15" spans="1:4" x14ac:dyDescent="0.3">
      <c r="A15">
        <f>recipes_ingredients_ws!$B15</f>
        <v>1</v>
      </c>
      <c r="B15">
        <f>recipes_ingredients_ws!$D15</f>
        <v>14</v>
      </c>
      <c r="C15">
        <f>recipes_ingredients_ws!$E15</f>
        <v>0.1</v>
      </c>
      <c r="D15">
        <f>recipes_ingredients_ws!$G15</f>
        <v>5</v>
      </c>
    </row>
    <row r="16" spans="1:4" x14ac:dyDescent="0.3">
      <c r="A16">
        <f>recipes_ingredients_ws!$B16</f>
        <v>2</v>
      </c>
      <c r="B16">
        <f>recipes_ingredients_ws!$D16</f>
        <v>15</v>
      </c>
      <c r="C16">
        <f>recipes_ingredients_ws!$E16</f>
        <v>4</v>
      </c>
      <c r="D16">
        <f>recipes_ingredients_ws!$G16</f>
        <v>9</v>
      </c>
    </row>
    <row r="17" spans="1:4" x14ac:dyDescent="0.3">
      <c r="A17">
        <f>recipes_ingredients_ws!$B17</f>
        <v>2</v>
      </c>
      <c r="B17">
        <f>recipes_ingredients_ws!$D17</f>
        <v>16</v>
      </c>
      <c r="C17">
        <f>recipes_ingredients_ws!$E17</f>
        <v>15</v>
      </c>
      <c r="D17">
        <f>recipes_ingredients_ws!$G17</f>
        <v>1</v>
      </c>
    </row>
    <row r="18" spans="1:4" x14ac:dyDescent="0.3">
      <c r="A18">
        <f>recipes_ingredients_ws!$B18</f>
        <v>2</v>
      </c>
      <c r="B18">
        <f>recipes_ingredients_ws!$D18</f>
        <v>17</v>
      </c>
      <c r="C18">
        <f>recipes_ingredients_ws!$E18</f>
        <v>10</v>
      </c>
      <c r="D18">
        <f>recipes_ingredients_ws!$G18</f>
        <v>1</v>
      </c>
    </row>
    <row r="19" spans="1:4" x14ac:dyDescent="0.3">
      <c r="A19">
        <f>recipes_ingredients_ws!$B19</f>
        <v>2</v>
      </c>
      <c r="B19">
        <f>recipes_ingredients_ws!$D19</f>
        <v>8</v>
      </c>
      <c r="C19">
        <f>recipes_ingredients_ws!$E19</f>
        <v>60</v>
      </c>
      <c r="D19">
        <f>recipes_ingredients_ws!$G19</f>
        <v>3</v>
      </c>
    </row>
    <row r="20" spans="1:4" x14ac:dyDescent="0.3">
      <c r="A20">
        <f>recipes_ingredients_ws!$B20</f>
        <v>2</v>
      </c>
      <c r="B20">
        <f>recipes_ingredients_ws!$D20</f>
        <v>18</v>
      </c>
      <c r="C20">
        <f>recipes_ingredients_ws!$E20</f>
        <v>250</v>
      </c>
      <c r="D20">
        <f>recipes_ingredients_ws!$G20</f>
        <v>1</v>
      </c>
    </row>
    <row r="21" spans="1:4" x14ac:dyDescent="0.3">
      <c r="A21">
        <f>recipes_ingredients_ws!$B21</f>
        <v>2</v>
      </c>
      <c r="B21">
        <f>recipes_ingredients_ws!$D21</f>
        <v>19</v>
      </c>
      <c r="C21">
        <f>recipes_ingredients_ws!$E21</f>
        <v>90</v>
      </c>
      <c r="D21">
        <f>recipes_ingredients_ws!$G21</f>
        <v>1</v>
      </c>
    </row>
    <row r="22" spans="1:4" x14ac:dyDescent="0.3">
      <c r="A22">
        <f>recipes_ingredients_ws!$B22</f>
        <v>2</v>
      </c>
      <c r="B22">
        <f>recipes_ingredients_ws!$D22</f>
        <v>2</v>
      </c>
      <c r="C22">
        <f>recipes_ingredients_ws!$E22</f>
        <v>3</v>
      </c>
      <c r="D22">
        <f>recipes_ingredients_ws!$G22</f>
        <v>8</v>
      </c>
    </row>
    <row r="23" spans="1:4" x14ac:dyDescent="0.3">
      <c r="A23">
        <f>recipes_ingredients_ws!$B23</f>
        <v>2</v>
      </c>
      <c r="B23">
        <f>recipes_ingredients_ws!$D23</f>
        <v>20</v>
      </c>
      <c r="C23">
        <f>recipes_ingredients_ws!$E23</f>
        <v>3.5</v>
      </c>
      <c r="D23">
        <f>recipes_ingredients_ws!$G23</f>
        <v>6</v>
      </c>
    </row>
    <row r="24" spans="1:4" x14ac:dyDescent="0.3">
      <c r="A24">
        <f>recipes_ingredients_ws!$B24</f>
        <v>2</v>
      </c>
      <c r="B24">
        <f>recipes_ingredients_ws!$D24</f>
        <v>3</v>
      </c>
      <c r="C24">
        <f>recipes_ingredients_ws!$E24</f>
        <v>10</v>
      </c>
      <c r="D24">
        <f>recipes_ingredients_ws!$G24</f>
        <v>1</v>
      </c>
    </row>
    <row r="25" spans="1:4" x14ac:dyDescent="0.3">
      <c r="A25">
        <f>recipes_ingredients_ws!$B25</f>
        <v>2</v>
      </c>
      <c r="B25">
        <f>recipes_ingredients_ws!$D25</f>
        <v>13</v>
      </c>
      <c r="C25">
        <f>recipes_ingredients_ws!$E25</f>
        <v>0.1</v>
      </c>
      <c r="D25">
        <f>recipes_ingredients_ws!$G25</f>
        <v>5</v>
      </c>
    </row>
    <row r="26" spans="1:4" x14ac:dyDescent="0.3">
      <c r="A26">
        <f>recipes_ingredients_ws!$B26</f>
        <v>2</v>
      </c>
      <c r="B26">
        <f>recipes_ingredients_ws!$D26</f>
        <v>14</v>
      </c>
      <c r="C26">
        <f>recipes_ingredients_ws!$E26</f>
        <v>0.1</v>
      </c>
      <c r="D26">
        <f>recipes_ingredients_ws!$G26</f>
        <v>5</v>
      </c>
    </row>
    <row r="27" spans="1:4" x14ac:dyDescent="0.3">
      <c r="A27">
        <f>recipes_ingredients_ws!$B27</f>
        <v>3</v>
      </c>
      <c r="B27">
        <f>recipes_ingredients_ws!$D27</f>
        <v>21</v>
      </c>
      <c r="C27">
        <f>recipes_ingredients_ws!$E27</f>
        <v>400</v>
      </c>
      <c r="D27">
        <f>recipes_ingredients_ws!$G27</f>
        <v>1</v>
      </c>
    </row>
    <row r="28" spans="1:4" x14ac:dyDescent="0.3">
      <c r="A28">
        <f>recipes_ingredients_ws!$B28</f>
        <v>3</v>
      </c>
      <c r="B28">
        <f>recipes_ingredients_ws!$D28</f>
        <v>22</v>
      </c>
      <c r="C28">
        <f>recipes_ingredients_ws!$E28</f>
        <v>50</v>
      </c>
      <c r="D28">
        <f>recipes_ingredients_ws!$G28</f>
        <v>1</v>
      </c>
    </row>
    <row r="29" spans="1:4" x14ac:dyDescent="0.3">
      <c r="A29">
        <f>recipes_ingredients_ws!$B29</f>
        <v>3</v>
      </c>
      <c r="B29">
        <f>recipes_ingredients_ws!$D29</f>
        <v>23</v>
      </c>
      <c r="C29">
        <f>recipes_ingredients_ws!$E29</f>
        <v>800</v>
      </c>
      <c r="D29">
        <f>recipes_ingredients_ws!$G29</f>
        <v>3</v>
      </c>
    </row>
    <row r="30" spans="1:4" x14ac:dyDescent="0.3">
      <c r="A30">
        <f>recipes_ingredients_ws!$B30</f>
        <v>3</v>
      </c>
      <c r="B30">
        <f>recipes_ingredients_ws!$D30</f>
        <v>24</v>
      </c>
      <c r="C30">
        <f>recipes_ingredients_ws!$E30</f>
        <v>50</v>
      </c>
      <c r="D30">
        <f>recipes_ingredients_ws!$G30</f>
        <v>1</v>
      </c>
    </row>
    <row r="31" spans="1:4" x14ac:dyDescent="0.3">
      <c r="A31">
        <f>recipes_ingredients_ws!$B31</f>
        <v>3</v>
      </c>
      <c r="B31">
        <f>recipes_ingredients_ws!$D31</f>
        <v>25</v>
      </c>
      <c r="C31">
        <f>recipes_ingredients_ws!$E31</f>
        <v>150</v>
      </c>
      <c r="D31">
        <f>recipes_ingredients_ws!$G31</f>
        <v>1</v>
      </c>
    </row>
    <row r="32" spans="1:4" x14ac:dyDescent="0.3">
      <c r="A32">
        <f>recipes_ingredients_ws!$B32</f>
        <v>3</v>
      </c>
      <c r="B32">
        <f>recipes_ingredients_ws!$D32</f>
        <v>13</v>
      </c>
      <c r="C32">
        <f>recipes_ingredients_ws!$E32</f>
        <v>0.1</v>
      </c>
      <c r="D32">
        <f>recipes_ingredients_ws!$G32</f>
        <v>5</v>
      </c>
    </row>
    <row r="33" spans="1:4" x14ac:dyDescent="0.3">
      <c r="A33">
        <f>recipes_ingredients_ws!$B33</f>
        <v>3</v>
      </c>
      <c r="B33">
        <f>recipes_ingredients_ws!$D33</f>
        <v>14</v>
      </c>
      <c r="C33">
        <f>recipes_ingredients_ws!$E33</f>
        <v>0.1</v>
      </c>
      <c r="D33">
        <f>recipes_ingredients_ws!$G33</f>
        <v>5</v>
      </c>
    </row>
    <row r="34" spans="1:4" x14ac:dyDescent="0.3">
      <c r="A34">
        <f>recipes_ingredients_ws!$B34</f>
        <v>3</v>
      </c>
      <c r="B34">
        <f>recipes_ingredients_ws!$D34</f>
        <v>26</v>
      </c>
      <c r="C34">
        <f>recipes_ingredients_ws!$E34</f>
        <v>40</v>
      </c>
      <c r="D34">
        <f>recipes_ingredients_ws!$G34</f>
        <v>1</v>
      </c>
    </row>
    <row r="35" spans="1:4" x14ac:dyDescent="0.3">
      <c r="A35">
        <f>recipes_ingredients_ws!$B35</f>
        <v>3</v>
      </c>
      <c r="B35">
        <f>recipes_ingredients_ws!$D35</f>
        <v>27</v>
      </c>
      <c r="C35">
        <f>recipes_ingredients_ws!$E35</f>
        <v>90</v>
      </c>
      <c r="D35">
        <f>recipes_ingredients_ws!$G35</f>
        <v>1</v>
      </c>
    </row>
    <row r="36" spans="1:4" x14ac:dyDescent="0.3">
      <c r="A36">
        <f>recipes_ingredients_ws!$B36</f>
        <v>3</v>
      </c>
      <c r="B36">
        <f>recipes_ingredients_ws!$D36</f>
        <v>28</v>
      </c>
      <c r="C36">
        <f>recipes_ingredients_ws!$E36</f>
        <v>50</v>
      </c>
      <c r="D36">
        <f>recipes_ingredients_ws!$G36</f>
        <v>1</v>
      </c>
    </row>
    <row r="37" spans="1:4" x14ac:dyDescent="0.3">
      <c r="A37">
        <f>recipes_ingredients_ws!$B37</f>
        <v>3</v>
      </c>
      <c r="B37">
        <f>recipes_ingredients_ws!$D37</f>
        <v>8</v>
      </c>
      <c r="C37">
        <f>recipes_ingredients_ws!$E37</f>
        <v>45</v>
      </c>
      <c r="D37">
        <f>recipes_ingredients_ws!$G37</f>
        <v>3</v>
      </c>
    </row>
    <row r="38" spans="1:4" x14ac:dyDescent="0.3">
      <c r="A38">
        <f>recipes_ingredients_ws!$B38</f>
        <v>3</v>
      </c>
      <c r="B38">
        <f>recipes_ingredients_ws!$D38</f>
        <v>29</v>
      </c>
      <c r="C38">
        <f>recipes_ingredients_ws!$E38</f>
        <v>1</v>
      </c>
      <c r="D38">
        <f>recipes_ingredients_ws!$G38</f>
        <v>6</v>
      </c>
    </row>
    <row r="39" spans="1:4" x14ac:dyDescent="0.3">
      <c r="A39">
        <f>recipes_ingredients_ws!$B39</f>
        <v>3</v>
      </c>
      <c r="B39">
        <f>recipes_ingredients_ws!$D39</f>
        <v>2</v>
      </c>
      <c r="C39">
        <f>recipes_ingredients_ws!$E39</f>
        <v>1</v>
      </c>
      <c r="D39">
        <f>recipes_ingredients_ws!$G39</f>
        <v>8</v>
      </c>
    </row>
    <row r="40" spans="1:4" x14ac:dyDescent="0.3">
      <c r="A40">
        <f>recipes_ingredients_ws!$B40</f>
        <v>4</v>
      </c>
      <c r="B40">
        <f>recipes_ingredients_ws!$D40</f>
        <v>30</v>
      </c>
      <c r="C40">
        <f>recipes_ingredients_ws!$E40</f>
        <v>800</v>
      </c>
      <c r="D40">
        <f>recipes_ingredients_ws!$G40</f>
        <v>1</v>
      </c>
    </row>
    <row r="41" spans="1:4" x14ac:dyDescent="0.3">
      <c r="A41">
        <f>recipes_ingredients_ws!$B41</f>
        <v>4</v>
      </c>
      <c r="B41">
        <f>recipes_ingredients_ws!$D41</f>
        <v>2</v>
      </c>
      <c r="C41">
        <f>recipes_ingredients_ws!$E41</f>
        <v>12</v>
      </c>
      <c r="D41">
        <f>recipes_ingredients_ws!$G41</f>
        <v>8</v>
      </c>
    </row>
    <row r="42" spans="1:4" x14ac:dyDescent="0.3">
      <c r="A42">
        <f>recipes_ingredients_ws!$B42</f>
        <v>4</v>
      </c>
      <c r="B42">
        <f>recipes_ingredients_ws!$D42</f>
        <v>31</v>
      </c>
      <c r="C42">
        <f>recipes_ingredients_ws!$E42</f>
        <v>220</v>
      </c>
      <c r="D42">
        <f>recipes_ingredients_ws!$G42</f>
        <v>1</v>
      </c>
    </row>
    <row r="43" spans="1:4" x14ac:dyDescent="0.3">
      <c r="A43">
        <f>recipes_ingredients_ws!$B43</f>
        <v>4</v>
      </c>
      <c r="B43">
        <f>recipes_ingredients_ws!$D43</f>
        <v>3</v>
      </c>
      <c r="C43">
        <f>recipes_ingredients_ws!$E43</f>
        <v>25</v>
      </c>
      <c r="D43">
        <f>recipes_ingredients_ws!$G43</f>
        <v>1</v>
      </c>
    </row>
    <row r="44" spans="1:4" x14ac:dyDescent="0.3">
      <c r="A44">
        <f>recipes_ingredients_ws!$B44</f>
        <v>4</v>
      </c>
      <c r="B44">
        <f>recipes_ingredients_ws!$D44</f>
        <v>32</v>
      </c>
      <c r="C44">
        <f>recipes_ingredients_ws!$E44</f>
        <v>20</v>
      </c>
      <c r="D44">
        <f>recipes_ingredients_ws!$G44</f>
        <v>1</v>
      </c>
    </row>
    <row r="45" spans="1:4" x14ac:dyDescent="0.3">
      <c r="A45">
        <f>recipes_ingredients_ws!$B45</f>
        <v>4</v>
      </c>
      <c r="B45">
        <f>recipes_ingredients_ws!$D45</f>
        <v>33</v>
      </c>
      <c r="C45">
        <f>recipes_ingredients_ws!$E45</f>
        <v>4</v>
      </c>
      <c r="D45">
        <f>recipes_ingredients_ws!$G45</f>
        <v>7</v>
      </c>
    </row>
    <row r="46" spans="1:4" x14ac:dyDescent="0.3">
      <c r="A46">
        <f>recipes_ingredients_ws!$B46</f>
        <v>4</v>
      </c>
      <c r="B46">
        <f>recipes_ingredients_ws!$D46</f>
        <v>8</v>
      </c>
      <c r="C46">
        <f>recipes_ingredients_ws!$E46</f>
        <v>100</v>
      </c>
      <c r="D46">
        <f>recipes_ingredients_ws!$G46</f>
        <v>3</v>
      </c>
    </row>
    <row r="47" spans="1:4" x14ac:dyDescent="0.3">
      <c r="A47">
        <f>recipes_ingredients_ws!$B47</f>
        <v>4</v>
      </c>
      <c r="B47">
        <f>recipes_ingredients_ws!$D47</f>
        <v>21</v>
      </c>
      <c r="C47">
        <f>recipes_ingredients_ws!$E47</f>
        <v>300</v>
      </c>
      <c r="D47">
        <f>recipes_ingredients_ws!$G47</f>
        <v>1</v>
      </c>
    </row>
    <row r="48" spans="1:4" x14ac:dyDescent="0.3">
      <c r="A48">
        <f>recipes_ingredients_ws!$B48</f>
        <v>4</v>
      </c>
      <c r="B48">
        <f>recipes_ingredients_ws!$D48</f>
        <v>23</v>
      </c>
      <c r="C48">
        <f>recipes_ingredients_ws!$E48</f>
        <v>600</v>
      </c>
      <c r="D48">
        <f>recipes_ingredients_ws!$G48</f>
        <v>3</v>
      </c>
    </row>
    <row r="49" spans="1:4" x14ac:dyDescent="0.3">
      <c r="A49">
        <f>recipes_ingredients_ws!$B49</f>
        <v>4</v>
      </c>
      <c r="B49">
        <f>recipes_ingredients_ws!$D49</f>
        <v>13</v>
      </c>
      <c r="C49">
        <f>recipes_ingredients_ws!$E49</f>
        <v>0.1</v>
      </c>
      <c r="D49">
        <f>recipes_ingredients_ws!$G49</f>
        <v>5</v>
      </c>
    </row>
    <row r="50" spans="1:4" x14ac:dyDescent="0.3">
      <c r="A50">
        <f>recipes_ingredients_ws!$B50</f>
        <v>4</v>
      </c>
      <c r="B50">
        <f>recipes_ingredients_ws!$D50</f>
        <v>14</v>
      </c>
      <c r="C50">
        <f>recipes_ingredients_ws!$E50</f>
        <v>0.1</v>
      </c>
      <c r="D50">
        <f>recipes_ingredients_ws!$G50</f>
        <v>5</v>
      </c>
    </row>
    <row r="51" spans="1:4" x14ac:dyDescent="0.3">
      <c r="A51">
        <f>recipes_ingredients_ws!$B51</f>
        <v>5</v>
      </c>
      <c r="B51">
        <f>recipes_ingredients_ws!$D51</f>
        <v>34</v>
      </c>
      <c r="C51">
        <f>recipes_ingredients_ws!$E51</f>
        <v>1</v>
      </c>
      <c r="D51">
        <f>recipes_ingredients_ws!$G51</f>
        <v>2</v>
      </c>
    </row>
    <row r="52" spans="1:4" x14ac:dyDescent="0.3">
      <c r="A52">
        <f>recipes_ingredients_ws!$B52</f>
        <v>5</v>
      </c>
      <c r="B52">
        <f>recipes_ingredients_ws!$D52</f>
        <v>8</v>
      </c>
      <c r="C52">
        <f>recipes_ingredients_ws!$E52</f>
        <v>45</v>
      </c>
      <c r="D52">
        <f>recipes_ingredients_ws!$G52</f>
        <v>3</v>
      </c>
    </row>
    <row r="53" spans="1:4" x14ac:dyDescent="0.3">
      <c r="A53">
        <f>recipes_ingredients_ws!$B53</f>
        <v>5</v>
      </c>
      <c r="B53">
        <f>recipes_ingredients_ws!$D53</f>
        <v>35</v>
      </c>
      <c r="C53">
        <f>recipes_ingredients_ws!$E53</f>
        <v>2</v>
      </c>
      <c r="D53">
        <f>recipes_ingredients_ws!$G53</f>
        <v>5</v>
      </c>
    </row>
    <row r="54" spans="1:4" x14ac:dyDescent="0.3">
      <c r="A54">
        <f>recipes_ingredients_ws!$B54</f>
        <v>5</v>
      </c>
      <c r="B54">
        <f>recipes_ingredients_ws!$D54</f>
        <v>36</v>
      </c>
      <c r="C54">
        <f>recipes_ingredients_ws!$E54</f>
        <v>160</v>
      </c>
      <c r="D54">
        <f>recipes_ingredients_ws!$G54</f>
        <v>1</v>
      </c>
    </row>
    <row r="55" spans="1:4" x14ac:dyDescent="0.3">
      <c r="A55">
        <f>recipes_ingredients_ws!$B55</f>
        <v>5</v>
      </c>
      <c r="B55">
        <f>recipes_ingredients_ws!$D55</f>
        <v>37</v>
      </c>
      <c r="C55">
        <f>recipes_ingredients_ws!$E55</f>
        <v>5</v>
      </c>
      <c r="D55">
        <f>recipes_ingredients_ws!$G55</f>
        <v>1</v>
      </c>
    </row>
    <row r="56" spans="1:4" x14ac:dyDescent="0.3">
      <c r="A56">
        <f>recipes_ingredients_ws!$B56</f>
        <v>5</v>
      </c>
      <c r="B56">
        <f>recipes_ingredients_ws!$D56</f>
        <v>38</v>
      </c>
      <c r="C56">
        <f>recipes_ingredients_ws!$E56</f>
        <v>5</v>
      </c>
      <c r="D56">
        <f>recipes_ingredients_ws!$G56</f>
        <v>1</v>
      </c>
    </row>
    <row r="57" spans="1:4" x14ac:dyDescent="0.3">
      <c r="A57">
        <f>recipes_ingredients_ws!$B57</f>
        <v>5</v>
      </c>
      <c r="B57">
        <f>recipes_ingredients_ws!$D57</f>
        <v>14</v>
      </c>
      <c r="C57">
        <f>recipes_ingredients_ws!$E57</f>
        <v>0.1</v>
      </c>
      <c r="D57">
        <f>recipes_ingredients_ws!$G57</f>
        <v>5</v>
      </c>
    </row>
    <row r="58" spans="1:4" x14ac:dyDescent="0.3">
      <c r="A58">
        <f>recipes_ingredients_ws!$B58</f>
        <v>5</v>
      </c>
      <c r="B58">
        <f>recipes_ingredients_ws!$D58</f>
        <v>1</v>
      </c>
      <c r="C58">
        <f>recipes_ingredients_ws!$E58</f>
        <v>0.5</v>
      </c>
      <c r="D58">
        <f>recipes_ingredients_ws!$G58</f>
        <v>7</v>
      </c>
    </row>
    <row r="59" spans="1:4" x14ac:dyDescent="0.3">
      <c r="A59">
        <f>recipes_ingredients_ws!$B59</f>
        <v>5</v>
      </c>
      <c r="B59">
        <f>recipes_ingredients_ws!$D59</f>
        <v>20</v>
      </c>
      <c r="C59">
        <f>recipes_ingredients_ws!$E59</f>
        <v>2</v>
      </c>
      <c r="D59">
        <f>recipes_ingredients_ws!$G59</f>
        <v>6</v>
      </c>
    </row>
    <row r="60" spans="1:4" x14ac:dyDescent="0.3">
      <c r="A60">
        <f>recipes_ingredients_ws!$B60</f>
        <v>5</v>
      </c>
      <c r="B60">
        <f>recipes_ingredients_ws!$D60</f>
        <v>35</v>
      </c>
      <c r="C60" t="str">
        <f>recipes_ingredients_ws!$E60</f>
        <v>1/2</v>
      </c>
      <c r="D60">
        <f>recipes_ingredients_ws!$G60</f>
        <v>5</v>
      </c>
    </row>
    <row r="61" spans="1:4" x14ac:dyDescent="0.3">
      <c r="A61">
        <f>recipes_ingredients_ws!$B61</f>
        <v>5</v>
      </c>
      <c r="B61">
        <f>recipes_ingredients_ws!$D61</f>
        <v>39</v>
      </c>
      <c r="C61">
        <f>recipes_ingredients_ws!$E61</f>
        <v>4</v>
      </c>
      <c r="D61">
        <f>recipes_ingredients_ws!$G61</f>
        <v>6</v>
      </c>
    </row>
    <row r="62" spans="1:4" x14ac:dyDescent="0.3">
      <c r="A62">
        <f>recipes_ingredients_ws!$B62</f>
        <v>5</v>
      </c>
      <c r="B62">
        <f>recipes_ingredients_ws!$D62</f>
        <v>40</v>
      </c>
      <c r="C62">
        <f>recipes_ingredients_ws!$E62</f>
        <v>15</v>
      </c>
      <c r="D62">
        <f>recipes_ingredients_ws!$G62</f>
        <v>1</v>
      </c>
    </row>
    <row r="63" spans="1:4" x14ac:dyDescent="0.3">
      <c r="A63">
        <f>recipes_ingredients_ws!$B63</f>
        <v>5</v>
      </c>
      <c r="B63">
        <f>recipes_ingredients_ws!$D63</f>
        <v>2</v>
      </c>
      <c r="C63">
        <f>recipes_ingredients_ws!$E63</f>
        <v>1</v>
      </c>
      <c r="D63">
        <f>recipes_ingredients_ws!$G63</f>
        <v>8</v>
      </c>
    </row>
    <row r="64" spans="1:4" x14ac:dyDescent="0.3">
      <c r="A64">
        <f>recipes_ingredients_ws!$B64</f>
        <v>5</v>
      </c>
      <c r="B64">
        <f>recipes_ingredients_ws!$D64</f>
        <v>41</v>
      </c>
      <c r="C64">
        <f>recipes_ingredients_ws!$E64</f>
        <v>2</v>
      </c>
      <c r="D64">
        <f>recipes_ingredients_ws!$G64</f>
        <v>7</v>
      </c>
    </row>
    <row r="65" spans="1:4" x14ac:dyDescent="0.3">
      <c r="A65">
        <f>recipes_ingredients_ws!$B65</f>
        <v>6</v>
      </c>
      <c r="B65">
        <f>recipes_ingredients_ws!$D65</f>
        <v>42</v>
      </c>
      <c r="C65">
        <f>recipes_ingredients_ws!$E65</f>
        <v>2</v>
      </c>
      <c r="D65">
        <f>recipes_ingredients_ws!$G65</f>
        <v>7</v>
      </c>
    </row>
    <row r="66" spans="1:4" x14ac:dyDescent="0.3">
      <c r="A66">
        <f>recipes_ingredients_ws!$B66</f>
        <v>6</v>
      </c>
      <c r="B66">
        <f>recipes_ingredients_ws!$D66</f>
        <v>43</v>
      </c>
      <c r="C66">
        <f>recipes_ingredients_ws!$E66</f>
        <v>500</v>
      </c>
      <c r="D66">
        <f>recipes_ingredients_ws!$G66</f>
        <v>1</v>
      </c>
    </row>
    <row r="67" spans="1:4" x14ac:dyDescent="0.3">
      <c r="A67">
        <f>recipes_ingredients_ws!$B67</f>
        <v>6</v>
      </c>
      <c r="B67">
        <f>recipes_ingredients_ws!$D67</f>
        <v>44</v>
      </c>
      <c r="C67">
        <f>recipes_ingredients_ws!$E67</f>
        <v>400</v>
      </c>
      <c r="D67">
        <f>recipes_ingredients_ws!$G67</f>
        <v>1</v>
      </c>
    </row>
    <row r="68" spans="1:4" x14ac:dyDescent="0.3">
      <c r="A68">
        <f>recipes_ingredients_ws!$B68</f>
        <v>6</v>
      </c>
      <c r="B68">
        <f>recipes_ingredients_ws!$D68</f>
        <v>33</v>
      </c>
      <c r="C68">
        <f>recipes_ingredients_ws!$E68</f>
        <v>1</v>
      </c>
      <c r="D68">
        <f>recipes_ingredients_ws!$G68</f>
        <v>7</v>
      </c>
    </row>
    <row r="69" spans="1:4" x14ac:dyDescent="0.3">
      <c r="A69">
        <f>recipes_ingredients_ws!$B69</f>
        <v>6</v>
      </c>
      <c r="B69">
        <f>recipes_ingredients_ws!$D69</f>
        <v>8</v>
      </c>
      <c r="C69">
        <f>recipes_ingredients_ws!$E69</f>
        <v>200</v>
      </c>
      <c r="D69">
        <f>recipes_ingredients_ws!$G69</f>
        <v>3</v>
      </c>
    </row>
    <row r="70" spans="1:4" x14ac:dyDescent="0.3">
      <c r="A70">
        <f>recipes_ingredients_ws!$B70</f>
        <v>6</v>
      </c>
      <c r="B70">
        <f>recipes_ingredients_ws!$D70</f>
        <v>45</v>
      </c>
      <c r="C70">
        <f>recipes_ingredients_ws!$E70</f>
        <v>250</v>
      </c>
      <c r="D70">
        <f>recipes_ingredients_ws!$G70</f>
        <v>1</v>
      </c>
    </row>
    <row r="71" spans="1:4" x14ac:dyDescent="0.3">
      <c r="A71">
        <f>recipes_ingredients_ws!$B71</f>
        <v>6</v>
      </c>
      <c r="B71">
        <f>recipes_ingredients_ws!$D71</f>
        <v>46</v>
      </c>
      <c r="C71">
        <f>recipes_ingredients_ws!$E71</f>
        <v>5</v>
      </c>
      <c r="D71">
        <f>recipes_ingredients_ws!$G71</f>
        <v>7</v>
      </c>
    </row>
    <row r="72" spans="1:4" x14ac:dyDescent="0.3">
      <c r="A72">
        <f>recipes_ingredients_ws!$B72</f>
        <v>6</v>
      </c>
      <c r="B72">
        <f>recipes_ingredients_ws!$D72</f>
        <v>47</v>
      </c>
      <c r="C72">
        <f>recipes_ingredients_ws!$E72</f>
        <v>1</v>
      </c>
      <c r="D72">
        <f>recipes_ingredients_ws!$G72</f>
        <v>6</v>
      </c>
    </row>
    <row r="73" spans="1:4" x14ac:dyDescent="0.3">
      <c r="A73">
        <f>recipes_ingredients_ws!$B73</f>
        <v>6</v>
      </c>
      <c r="B73">
        <f>recipes_ingredients_ws!$D73</f>
        <v>48</v>
      </c>
      <c r="C73">
        <f>recipes_ingredients_ws!$E73</f>
        <v>1</v>
      </c>
      <c r="D73">
        <f>recipes_ingredients_ws!$G73</f>
        <v>5</v>
      </c>
    </row>
    <row r="74" spans="1:4" x14ac:dyDescent="0.3">
      <c r="A74">
        <f>recipes_ingredients_ws!$B74</f>
        <v>7</v>
      </c>
      <c r="B74">
        <f>recipes_ingredients_ws!$D74</f>
        <v>49</v>
      </c>
      <c r="C74">
        <f>recipes_ingredients_ws!$E74</f>
        <v>140</v>
      </c>
      <c r="D74">
        <f>recipes_ingredients_ws!$G74</f>
        <v>1</v>
      </c>
    </row>
    <row r="75" spans="1:4" x14ac:dyDescent="0.3">
      <c r="A75">
        <f>recipes_ingredients_ws!$B75</f>
        <v>7</v>
      </c>
      <c r="B75">
        <f>recipes_ingredients_ws!$D75</f>
        <v>50</v>
      </c>
      <c r="C75">
        <f>recipes_ingredients_ws!$E75</f>
        <v>150</v>
      </c>
      <c r="D75">
        <f>recipes_ingredients_ws!$G75</f>
        <v>1</v>
      </c>
    </row>
    <row r="76" spans="1:4" x14ac:dyDescent="0.3">
      <c r="A76">
        <f>recipes_ingredients_ws!$B76</f>
        <v>7</v>
      </c>
      <c r="B76">
        <f>recipes_ingredients_ws!$D76</f>
        <v>47</v>
      </c>
      <c r="C76">
        <f>recipes_ingredients_ws!$E76</f>
        <v>1</v>
      </c>
      <c r="D76">
        <f>recipes_ingredients_ws!$G76</f>
        <v>6</v>
      </c>
    </row>
    <row r="77" spans="1:4" x14ac:dyDescent="0.3">
      <c r="A77">
        <f>recipes_ingredients_ws!$B77</f>
        <v>7</v>
      </c>
      <c r="B77">
        <f>recipes_ingredients_ws!$D77</f>
        <v>51</v>
      </c>
      <c r="C77">
        <f>recipes_ingredients_ws!$E77</f>
        <v>1</v>
      </c>
      <c r="D77">
        <f>recipes_ingredients_ws!$G77</f>
        <v>5</v>
      </c>
    </row>
    <row r="78" spans="1:4" x14ac:dyDescent="0.3">
      <c r="A78">
        <f>recipes_ingredients_ws!$B78</f>
        <v>7</v>
      </c>
      <c r="B78">
        <f>recipes_ingredients_ws!$D78</f>
        <v>46</v>
      </c>
      <c r="C78">
        <f>recipes_ingredients_ws!$E78</f>
        <v>1</v>
      </c>
      <c r="D78">
        <f>recipes_ingredients_ws!$G78</f>
        <v>7</v>
      </c>
    </row>
    <row r="79" spans="1:4" x14ac:dyDescent="0.3">
      <c r="A79">
        <f>recipes_ingredients_ws!$B79</f>
        <v>7</v>
      </c>
      <c r="B79">
        <f>recipes_ingredients_ws!$D79</f>
        <v>8</v>
      </c>
      <c r="C79">
        <f>recipes_ingredients_ws!$E79</f>
        <v>160</v>
      </c>
      <c r="D79">
        <f>recipes_ingredients_ws!$G79</f>
        <v>3</v>
      </c>
    </row>
    <row r="80" spans="1:4" x14ac:dyDescent="0.3">
      <c r="A80">
        <f>recipes_ingredients_ws!$B80</f>
        <v>7</v>
      </c>
      <c r="B80">
        <f>recipes_ingredients_ws!$D80</f>
        <v>48</v>
      </c>
      <c r="C80">
        <f>recipes_ingredients_ws!$E80</f>
        <v>1</v>
      </c>
      <c r="D80">
        <f>recipes_ingredients_ws!$G80</f>
        <v>5</v>
      </c>
    </row>
    <row r="81" spans="1:4" x14ac:dyDescent="0.3">
      <c r="A81">
        <f>recipes_ingredients_ws!$B81</f>
        <v>7</v>
      </c>
      <c r="B81">
        <f>recipes_ingredients_ws!$D81</f>
        <v>52</v>
      </c>
      <c r="C81">
        <f>recipes_ingredients_ws!$E81</f>
        <v>180</v>
      </c>
      <c r="D81">
        <f>recipes_ingredients_ws!$G81</f>
        <v>3</v>
      </c>
    </row>
    <row r="82" spans="1:4" x14ac:dyDescent="0.3">
      <c r="A82">
        <f>recipes_ingredients_ws!$B82</f>
        <v>7</v>
      </c>
      <c r="B82">
        <f>recipes_ingredients_ws!$D82</f>
        <v>53</v>
      </c>
      <c r="C82">
        <f>recipes_ingredients_ws!$E82</f>
        <v>80</v>
      </c>
      <c r="D82">
        <f>recipes_ingredients_ws!$G82</f>
        <v>3</v>
      </c>
    </row>
    <row r="83" spans="1:4" x14ac:dyDescent="0.3">
      <c r="A83">
        <f>recipes_ingredients_ws!$B83</f>
        <v>7</v>
      </c>
      <c r="B83">
        <f>recipes_ingredients_ws!$D83</f>
        <v>54</v>
      </c>
      <c r="C83">
        <f>recipes_ingredients_ws!$E83</f>
        <v>375</v>
      </c>
      <c r="D83">
        <f>recipes_ingredients_ws!$G83</f>
        <v>1</v>
      </c>
    </row>
    <row r="84" spans="1:4" x14ac:dyDescent="0.3">
      <c r="A84">
        <f>recipes_ingredients_ws!$B84</f>
        <v>8</v>
      </c>
      <c r="B84">
        <f>recipes_ingredients_ws!$D84</f>
        <v>55</v>
      </c>
      <c r="C84">
        <f>recipes_ingredients_ws!$E84</f>
        <v>15</v>
      </c>
      <c r="D84">
        <f>recipes_ingredients_ws!$G84</f>
        <v>1</v>
      </c>
    </row>
    <row r="85" spans="1:4" x14ac:dyDescent="0.3">
      <c r="A85">
        <f>recipes_ingredients_ws!$B85</f>
        <v>8</v>
      </c>
      <c r="B85">
        <f>recipes_ingredients_ws!$D85</f>
        <v>2</v>
      </c>
      <c r="C85">
        <f>recipes_ingredients_ws!$E85</f>
        <v>4</v>
      </c>
      <c r="D85">
        <f>recipes_ingredients_ws!$G85</f>
        <v>8</v>
      </c>
    </row>
    <row r="86" spans="1:4" x14ac:dyDescent="0.3">
      <c r="A86">
        <f>recipes_ingredients_ws!$B86</f>
        <v>8</v>
      </c>
      <c r="B86">
        <f>recipes_ingredients_ws!$D86</f>
        <v>56</v>
      </c>
      <c r="C86">
        <f>recipes_ingredients_ws!$E86</f>
        <v>2</v>
      </c>
      <c r="D86">
        <f>recipes_ingredients_ws!$G86</f>
        <v>7</v>
      </c>
    </row>
    <row r="87" spans="1:4" x14ac:dyDescent="0.3">
      <c r="A87">
        <f>recipes_ingredients_ws!$B87</f>
        <v>8</v>
      </c>
      <c r="B87">
        <f>recipes_ingredients_ws!$D87</f>
        <v>57</v>
      </c>
      <c r="C87">
        <f>recipes_ingredients_ws!$E87</f>
        <v>2</v>
      </c>
      <c r="D87">
        <f>recipes_ingredients_ws!$G87</f>
        <v>7</v>
      </c>
    </row>
    <row r="88" spans="1:4" x14ac:dyDescent="0.3">
      <c r="A88">
        <f>recipes_ingredients_ws!$B88</f>
        <v>8</v>
      </c>
      <c r="B88">
        <f>recipes_ingredients_ws!$D88</f>
        <v>30</v>
      </c>
      <c r="C88">
        <f>recipes_ingredients_ws!$E88</f>
        <v>200</v>
      </c>
      <c r="D88">
        <f>recipes_ingredients_ws!$G88</f>
        <v>1</v>
      </c>
    </row>
    <row r="89" spans="1:4" x14ac:dyDescent="0.3">
      <c r="A89">
        <f>recipes_ingredients_ws!$B89</f>
        <v>8</v>
      </c>
      <c r="B89">
        <f>recipes_ingredients_ws!$D89</f>
        <v>58</v>
      </c>
      <c r="C89">
        <f>recipes_ingredients_ws!$E89</f>
        <v>4</v>
      </c>
      <c r="D89">
        <f>recipes_ingredients_ws!$G89</f>
        <v>7</v>
      </c>
    </row>
    <row r="90" spans="1:4" x14ac:dyDescent="0.3">
      <c r="A90">
        <f>recipes_ingredients_ws!$B90</f>
        <v>8</v>
      </c>
      <c r="B90">
        <f>recipes_ingredients_ws!$D90</f>
        <v>3</v>
      </c>
      <c r="C90">
        <f>recipes_ingredients_ws!$E90</f>
        <v>50</v>
      </c>
      <c r="D90">
        <f>recipes_ingredients_ws!$G90</f>
        <v>1</v>
      </c>
    </row>
    <row r="91" spans="1:4" x14ac:dyDescent="0.3">
      <c r="A91">
        <f>recipes_ingredients_ws!$B91</f>
        <v>8</v>
      </c>
      <c r="B91">
        <f>recipes_ingredients_ws!$D91</f>
        <v>59</v>
      </c>
      <c r="C91">
        <f>recipes_ingredients_ws!$E91</f>
        <v>1</v>
      </c>
      <c r="D91">
        <f>recipes_ingredients_ws!$G91</f>
        <v>7</v>
      </c>
    </row>
    <row r="92" spans="1:4" x14ac:dyDescent="0.3">
      <c r="A92">
        <f>recipes_ingredients_ws!$B92</f>
        <v>8</v>
      </c>
      <c r="B92">
        <f>recipes_ingredients_ws!$D92</f>
        <v>60</v>
      </c>
      <c r="C92">
        <f>recipes_ingredients_ws!$E92</f>
        <v>1</v>
      </c>
      <c r="D92">
        <f>recipes_ingredients_ws!$G92</f>
        <v>6</v>
      </c>
    </row>
    <row r="93" spans="1:4" x14ac:dyDescent="0.3">
      <c r="A93">
        <f>recipes_ingredients_ws!$B93</f>
        <v>8</v>
      </c>
      <c r="B93">
        <f>recipes_ingredients_ws!$D93</f>
        <v>6</v>
      </c>
      <c r="C93" t="str">
        <f>recipes_ingredients_ws!$E93</f>
        <v>1/2</v>
      </c>
      <c r="D93">
        <f>recipes_ingredients_ws!$G93</f>
        <v>6</v>
      </c>
    </row>
    <row r="94" spans="1:4" x14ac:dyDescent="0.3">
      <c r="A94">
        <f>recipes_ingredients_ws!$B94</f>
        <v>8</v>
      </c>
      <c r="B94">
        <f>recipes_ingredients_ws!$D94</f>
        <v>61</v>
      </c>
      <c r="C94">
        <f>recipes_ingredients_ws!$E94</f>
        <v>3</v>
      </c>
      <c r="D94">
        <f>recipes_ingredients_ws!$G94</f>
        <v>6</v>
      </c>
    </row>
    <row r="95" spans="1:4" x14ac:dyDescent="0.3">
      <c r="A95">
        <f>recipes_ingredients_ws!$B95</f>
        <v>9</v>
      </c>
      <c r="B95">
        <f>recipes_ingredients_ws!$D95</f>
        <v>62</v>
      </c>
      <c r="C95">
        <f>recipes_ingredients_ws!$E95</f>
        <v>2</v>
      </c>
      <c r="D95">
        <f>recipes_ingredients_ws!$G95</f>
        <v>6</v>
      </c>
    </row>
    <row r="96" spans="1:4" x14ac:dyDescent="0.3">
      <c r="A96">
        <f>recipes_ingredients_ws!$B96</f>
        <v>9</v>
      </c>
      <c r="B96">
        <f>recipes_ingredients_ws!$D96</f>
        <v>6</v>
      </c>
      <c r="C96">
        <f>recipes_ingredients_ws!$E96</f>
        <v>2</v>
      </c>
      <c r="D96">
        <f>recipes_ingredients_ws!$G96</f>
        <v>6</v>
      </c>
    </row>
    <row r="97" spans="1:4" x14ac:dyDescent="0.3">
      <c r="A97">
        <f>recipes_ingredients_ws!$B97</f>
        <v>9</v>
      </c>
      <c r="B97">
        <f>recipes_ingredients_ws!$D97</f>
        <v>63</v>
      </c>
      <c r="C97">
        <f>recipes_ingredients_ws!$E97</f>
        <v>1.3</v>
      </c>
      <c r="D97">
        <f>recipes_ingredients_ws!$G97</f>
        <v>2</v>
      </c>
    </row>
    <row r="98" spans="1:4" x14ac:dyDescent="0.3">
      <c r="A98">
        <f>recipes_ingredients_ws!$B98</f>
        <v>9</v>
      </c>
      <c r="B98">
        <f>recipes_ingredients_ws!$D98</f>
        <v>64</v>
      </c>
      <c r="C98">
        <f>recipes_ingredients_ws!$E98</f>
        <v>500</v>
      </c>
      <c r="D98">
        <f>recipes_ingredients_ws!$G98</f>
        <v>3</v>
      </c>
    </row>
    <row r="99" spans="1:4" x14ac:dyDescent="0.3">
      <c r="A99">
        <f>recipes_ingredients_ws!$B99</f>
        <v>9</v>
      </c>
      <c r="B99">
        <f>recipes_ingredients_ws!$D99</f>
        <v>65</v>
      </c>
      <c r="C99">
        <f>recipes_ingredients_ws!$E99</f>
        <v>2</v>
      </c>
      <c r="D99">
        <f>recipes_ingredients_ws!$G99</f>
        <v>6</v>
      </c>
    </row>
    <row r="100" spans="1:4" x14ac:dyDescent="0.3">
      <c r="A100">
        <f>recipes_ingredients_ws!$B100</f>
        <v>9</v>
      </c>
      <c r="B100">
        <f>recipes_ingredients_ws!$D100</f>
        <v>66</v>
      </c>
      <c r="C100">
        <f>recipes_ingredients_ws!$E100</f>
        <v>400</v>
      </c>
      <c r="D100">
        <f>recipes_ingredients_ws!$G100</f>
        <v>1</v>
      </c>
    </row>
    <row r="101" spans="1:4" x14ac:dyDescent="0.3">
      <c r="A101">
        <f>recipes_ingredients_ws!$B101</f>
        <v>9</v>
      </c>
      <c r="B101">
        <f>recipes_ingredients_ws!$D101</f>
        <v>67</v>
      </c>
      <c r="C101">
        <f>recipes_ingredients_ws!$E101</f>
        <v>20</v>
      </c>
      <c r="D101">
        <f>recipes_ingredients_ws!$G101</f>
        <v>1</v>
      </c>
    </row>
    <row r="102" spans="1:4" x14ac:dyDescent="0.3">
      <c r="A102">
        <f>recipes_ingredients_ws!$B102</f>
        <v>9</v>
      </c>
      <c r="B102">
        <f>recipes_ingredients_ws!$D102</f>
        <v>68</v>
      </c>
      <c r="C102">
        <f>recipes_ingredients_ws!$E102</f>
        <v>10</v>
      </c>
      <c r="D102">
        <f>recipes_ingredients_ws!$G102</f>
        <v>1</v>
      </c>
    </row>
    <row r="103" spans="1:4" x14ac:dyDescent="0.3">
      <c r="A103">
        <f>recipes_ingredients_ws!$B103</f>
        <v>9</v>
      </c>
      <c r="B103">
        <f>recipes_ingredients_ws!$D103</f>
        <v>69</v>
      </c>
      <c r="C103">
        <f>recipes_ingredients_ws!$E103</f>
        <v>5</v>
      </c>
      <c r="D103">
        <f>recipes_ingredients_ws!$G103</f>
        <v>1</v>
      </c>
    </row>
    <row r="104" spans="1:4" x14ac:dyDescent="0.3">
      <c r="A104">
        <f>recipes_ingredients_ws!$B104</f>
        <v>9</v>
      </c>
      <c r="B104">
        <f>recipes_ingredients_ws!$D104</f>
        <v>38</v>
      </c>
      <c r="C104">
        <f>recipes_ingredients_ws!$E104</f>
        <v>5</v>
      </c>
      <c r="D104">
        <f>recipes_ingredients_ws!$G104</f>
        <v>1</v>
      </c>
    </row>
    <row r="105" spans="1:4" x14ac:dyDescent="0.3">
      <c r="A105">
        <f>recipes_ingredients_ws!$B105</f>
        <v>9</v>
      </c>
      <c r="B105">
        <f>recipes_ingredients_ws!$D105</f>
        <v>70</v>
      </c>
      <c r="C105">
        <f>recipes_ingredients_ws!$E105</f>
        <v>5</v>
      </c>
      <c r="D105">
        <f>recipes_ingredients_ws!$G105</f>
        <v>1</v>
      </c>
    </row>
    <row r="106" spans="1:4" x14ac:dyDescent="0.3">
      <c r="A106">
        <f>recipes_ingredients_ws!$B106</f>
        <v>9</v>
      </c>
      <c r="B106">
        <f>recipes_ingredients_ws!$D106</f>
        <v>13</v>
      </c>
      <c r="C106">
        <f>recipes_ingredients_ws!$E106</f>
        <v>0.1</v>
      </c>
      <c r="D106">
        <f>recipes_ingredients_ws!$G106</f>
        <v>5</v>
      </c>
    </row>
    <row r="107" spans="1:4" x14ac:dyDescent="0.3">
      <c r="A107">
        <f>recipes_ingredients_ws!$B107</f>
        <v>9</v>
      </c>
      <c r="B107">
        <f>recipes_ingredients_ws!$D107</f>
        <v>14</v>
      </c>
      <c r="C107">
        <f>recipes_ingredients_ws!$E107</f>
        <v>0.1</v>
      </c>
      <c r="D107">
        <f>recipes_ingredients_ws!$G107</f>
        <v>5</v>
      </c>
    </row>
    <row r="108" spans="1:4" x14ac:dyDescent="0.3">
      <c r="A108">
        <f>recipes_ingredients_ws!$B108</f>
        <v>10</v>
      </c>
      <c r="B108">
        <f>recipes_ingredients_ws!$D108</f>
        <v>71</v>
      </c>
      <c r="C108">
        <f>recipes_ingredients_ws!$E108</f>
        <v>4</v>
      </c>
      <c r="D108">
        <f>recipes_ingredients_ws!$G108</f>
        <v>7</v>
      </c>
    </row>
    <row r="109" spans="1:4" x14ac:dyDescent="0.3">
      <c r="A109">
        <f>recipes_ingredients_ws!$B109</f>
        <v>10</v>
      </c>
      <c r="B109">
        <f>recipes_ingredients_ws!$D109</f>
        <v>8</v>
      </c>
      <c r="C109">
        <f>recipes_ingredients_ws!$E109</f>
        <v>45</v>
      </c>
      <c r="D109">
        <f>recipes_ingredients_ws!$G109</f>
        <v>3</v>
      </c>
    </row>
    <row r="110" spans="1:4" x14ac:dyDescent="0.3">
      <c r="A110">
        <f>recipes_ingredients_ws!$B110</f>
        <v>10</v>
      </c>
      <c r="B110">
        <f>recipes_ingredients_ws!$D110</f>
        <v>2</v>
      </c>
      <c r="C110">
        <f>recipes_ingredients_ws!$E110</f>
        <v>2</v>
      </c>
      <c r="D110">
        <f>recipes_ingredients_ws!$G110</f>
        <v>8</v>
      </c>
    </row>
    <row r="111" spans="1:4" x14ac:dyDescent="0.3">
      <c r="A111">
        <f>recipes_ingredients_ws!$B111</f>
        <v>10</v>
      </c>
      <c r="B111">
        <f>recipes_ingredients_ws!$D111</f>
        <v>72</v>
      </c>
      <c r="C111">
        <f>recipes_ingredients_ws!$E111</f>
        <v>3</v>
      </c>
      <c r="D111">
        <f>recipes_ingredients_ws!$G111</f>
        <v>5</v>
      </c>
    </row>
    <row r="112" spans="1:4" x14ac:dyDescent="0.3">
      <c r="A112">
        <f>recipes_ingredients_ws!$B112</f>
        <v>10</v>
      </c>
      <c r="B112">
        <f>recipes_ingredients_ws!$D112</f>
        <v>73</v>
      </c>
      <c r="C112">
        <f>recipes_ingredients_ws!$E112</f>
        <v>3</v>
      </c>
      <c r="D112">
        <f>recipes_ingredients_ws!$G112</f>
        <v>5</v>
      </c>
    </row>
    <row r="113" spans="1:4" x14ac:dyDescent="0.3">
      <c r="A113">
        <f>recipes_ingredients_ws!$B113</f>
        <v>10</v>
      </c>
      <c r="B113">
        <f>recipes_ingredients_ws!$D113</f>
        <v>74</v>
      </c>
      <c r="C113">
        <f>recipes_ingredients_ws!$E113</f>
        <v>0.1</v>
      </c>
      <c r="D113">
        <f>recipes_ingredients_ws!$G113</f>
        <v>5</v>
      </c>
    </row>
    <row r="114" spans="1:4" x14ac:dyDescent="0.3">
      <c r="A114">
        <f>recipes_ingredients_ws!$B114</f>
        <v>10</v>
      </c>
      <c r="B114">
        <f>recipes_ingredients_ws!$D114</f>
        <v>14</v>
      </c>
      <c r="C114">
        <f>recipes_ingredients_ws!$E114</f>
        <v>0.1</v>
      </c>
      <c r="D114">
        <f>recipes_ingredients_ws!$G114</f>
        <v>5</v>
      </c>
    </row>
    <row r="115" spans="1:4" x14ac:dyDescent="0.3">
      <c r="A115">
        <f>recipes_ingredients_ws!$B115</f>
        <v>10</v>
      </c>
      <c r="B115">
        <f>recipes_ingredients_ws!$D115</f>
        <v>40</v>
      </c>
      <c r="C115">
        <f>recipes_ingredients_ws!$E115</f>
        <v>25</v>
      </c>
      <c r="D115">
        <f>recipes_ingredients_ws!$G115</f>
        <v>1</v>
      </c>
    </row>
    <row r="116" spans="1:4" x14ac:dyDescent="0.3">
      <c r="A116">
        <f>recipes_ingredients_ws!$B116</f>
        <v>11</v>
      </c>
      <c r="B116">
        <f>recipes_ingredients_ws!$D116</f>
        <v>75</v>
      </c>
      <c r="C116">
        <f>recipes_ingredients_ws!$E116</f>
        <v>25</v>
      </c>
      <c r="D116">
        <f>recipes_ingredients_ws!$G116</f>
        <v>1</v>
      </c>
    </row>
    <row r="117" spans="1:4" x14ac:dyDescent="0.3">
      <c r="A117">
        <f>recipes_ingredients_ws!$B117</f>
        <v>11</v>
      </c>
      <c r="B117">
        <f>recipes_ingredients_ws!$D117</f>
        <v>23</v>
      </c>
      <c r="C117">
        <f>recipes_ingredients_ws!$E117</f>
        <v>275</v>
      </c>
      <c r="D117">
        <f>recipes_ingredients_ws!$G117</f>
        <v>3</v>
      </c>
    </row>
    <row r="118" spans="1:4" x14ac:dyDescent="0.3">
      <c r="A118">
        <f>recipes_ingredients_ws!$B118</f>
        <v>11</v>
      </c>
      <c r="B118">
        <f>recipes_ingredients_ws!$D118</f>
        <v>67</v>
      </c>
      <c r="C118">
        <f>recipes_ingredients_ws!$E118</f>
        <v>75</v>
      </c>
      <c r="D118">
        <f>recipes_ingredients_ws!$G118</f>
        <v>1</v>
      </c>
    </row>
    <row r="119" spans="1:4" x14ac:dyDescent="0.3">
      <c r="A119">
        <f>recipes_ingredients_ws!$B119</f>
        <v>11</v>
      </c>
      <c r="B119">
        <f>recipes_ingredients_ws!$D119</f>
        <v>76</v>
      </c>
      <c r="C119">
        <f>recipes_ingredients_ws!$E119</f>
        <v>110</v>
      </c>
      <c r="D119">
        <f>recipes_ingredients_ws!$G119</f>
        <v>1</v>
      </c>
    </row>
    <row r="120" spans="1:4" x14ac:dyDescent="0.3">
      <c r="A120">
        <f>recipes_ingredients_ws!$B120</f>
        <v>11</v>
      </c>
      <c r="B120">
        <f>recipes_ingredients_ws!$D120</f>
        <v>9</v>
      </c>
      <c r="C120">
        <f>recipes_ingredients_ws!$E120</f>
        <v>2</v>
      </c>
      <c r="D120">
        <f>recipes_ingredients_ws!$G120</f>
        <v>7</v>
      </c>
    </row>
    <row r="121" spans="1:4" x14ac:dyDescent="0.3">
      <c r="A121">
        <f>recipes_ingredients_ws!$B121</f>
        <v>11</v>
      </c>
      <c r="B121">
        <f>recipes_ingredients_ws!$D121</f>
        <v>77</v>
      </c>
      <c r="C121">
        <f>recipes_ingredients_ws!$E121</f>
        <v>2</v>
      </c>
      <c r="D121">
        <f>recipes_ingredients_ws!$G121</f>
        <v>7</v>
      </c>
    </row>
    <row r="122" spans="1:4" x14ac:dyDescent="0.3">
      <c r="A122">
        <f>recipes_ingredients_ws!$B122</f>
        <v>11</v>
      </c>
      <c r="B122">
        <f>recipes_ingredients_ws!$D122</f>
        <v>1</v>
      </c>
      <c r="C122">
        <f>recipes_ingredients_ws!$E122</f>
        <v>1</v>
      </c>
      <c r="D122">
        <f>recipes_ingredients_ws!$G122</f>
        <v>7</v>
      </c>
    </row>
    <row r="123" spans="1:4" x14ac:dyDescent="0.3">
      <c r="A123">
        <f>recipes_ingredients_ws!$B123</f>
        <v>11</v>
      </c>
      <c r="B123">
        <f>recipes_ingredients_ws!$D123</f>
        <v>78</v>
      </c>
      <c r="C123">
        <f>recipes_ingredients_ws!$E123</f>
        <v>1</v>
      </c>
      <c r="D123">
        <f>recipes_ingredients_ws!$G123</f>
        <v>7</v>
      </c>
    </row>
    <row r="124" spans="1:4" x14ac:dyDescent="0.3">
      <c r="A124">
        <f>recipes_ingredients_ws!$B124</f>
        <v>11</v>
      </c>
      <c r="B124">
        <f>recipes_ingredients_ws!$D124</f>
        <v>79</v>
      </c>
      <c r="C124">
        <f>recipes_ingredients_ws!$E124</f>
        <v>2</v>
      </c>
      <c r="D124">
        <f>recipes_ingredients_ws!$G124</f>
        <v>7</v>
      </c>
    </row>
    <row r="125" spans="1:4" x14ac:dyDescent="0.3">
      <c r="A125">
        <f>recipes_ingredients_ws!$B125</f>
        <v>11</v>
      </c>
      <c r="B125">
        <f>recipes_ingredients_ws!$D125</f>
        <v>32</v>
      </c>
      <c r="C125">
        <f>recipes_ingredients_ws!$E125</f>
        <v>10</v>
      </c>
      <c r="D125">
        <f>recipes_ingredients_ws!$G125</f>
        <v>1</v>
      </c>
    </row>
    <row r="126" spans="1:4" x14ac:dyDescent="0.3">
      <c r="A126">
        <f>recipes_ingredients_ws!$B126</f>
        <v>11</v>
      </c>
      <c r="B126">
        <f>recipes_ingredients_ws!$D126</f>
        <v>2</v>
      </c>
      <c r="C126">
        <f>recipes_ingredients_ws!$E126</f>
        <v>2</v>
      </c>
      <c r="D126">
        <f>recipes_ingredients_ws!$G126</f>
        <v>8</v>
      </c>
    </row>
    <row r="127" spans="1:4" x14ac:dyDescent="0.3">
      <c r="A127">
        <f>recipes_ingredients_ws!$B127</f>
        <v>11</v>
      </c>
      <c r="B127">
        <f>recipes_ingredients_ws!$D127</f>
        <v>80</v>
      </c>
      <c r="C127">
        <f>recipes_ingredients_ws!$E127</f>
        <v>2</v>
      </c>
      <c r="D127">
        <f>recipes_ingredients_ws!$G127</f>
        <v>4</v>
      </c>
    </row>
    <row r="128" spans="1:4" x14ac:dyDescent="0.3">
      <c r="A128">
        <f>recipes_ingredients_ws!$B128</f>
        <v>11</v>
      </c>
      <c r="B128">
        <f>recipes_ingredients_ws!$D128</f>
        <v>81</v>
      </c>
      <c r="C128">
        <f>recipes_ingredients_ws!$E128</f>
        <v>225</v>
      </c>
      <c r="D128">
        <f>recipes_ingredients_ws!$G128</f>
        <v>1</v>
      </c>
    </row>
    <row r="129" spans="1:4" x14ac:dyDescent="0.3">
      <c r="A129">
        <f>recipes_ingredients_ws!$B129</f>
        <v>11</v>
      </c>
      <c r="B129">
        <f>recipes_ingredients_ws!$D129</f>
        <v>28</v>
      </c>
      <c r="C129">
        <f>recipes_ingredients_ws!$E129</f>
        <v>110</v>
      </c>
      <c r="D129">
        <f>recipes_ingredients_ws!$G129</f>
        <v>1</v>
      </c>
    </row>
    <row r="130" spans="1:4" x14ac:dyDescent="0.3">
      <c r="A130">
        <f>recipes_ingredients_ws!$B130</f>
        <v>11</v>
      </c>
      <c r="B130">
        <f>recipes_ingredients_ws!$D130</f>
        <v>82</v>
      </c>
      <c r="C130">
        <f>recipes_ingredients_ws!$E130</f>
        <v>75</v>
      </c>
      <c r="D130">
        <f>recipes_ingredients_ws!$G130</f>
        <v>3</v>
      </c>
    </row>
    <row r="131" spans="1:4" x14ac:dyDescent="0.3">
      <c r="A131">
        <f>recipes_ingredients_ws!$B131</f>
        <v>11</v>
      </c>
      <c r="B131">
        <f>recipes_ingredients_ws!$D131</f>
        <v>83</v>
      </c>
      <c r="C131">
        <f>recipes_ingredients_ws!$E131</f>
        <v>75</v>
      </c>
      <c r="D131">
        <f>recipes_ingredients_ws!$G131</f>
        <v>3</v>
      </c>
    </row>
    <row r="132" spans="1:4" x14ac:dyDescent="0.3">
      <c r="A132">
        <f>recipes_ingredients_ws!$B132</f>
        <v>11</v>
      </c>
      <c r="B132">
        <f>recipes_ingredients_ws!$D132</f>
        <v>20</v>
      </c>
      <c r="C132">
        <f>recipes_ingredients_ws!$E132</f>
        <v>10</v>
      </c>
      <c r="D132">
        <f>recipes_ingredients_ws!$G132</f>
        <v>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D10BB-94F2-4CD5-930E-B1A1234C145E}">
  <dimension ref="A1:D84"/>
  <sheetViews>
    <sheetView workbookViewId="0">
      <selection activeCell="G12" sqref="G12"/>
    </sheetView>
  </sheetViews>
  <sheetFormatPr defaultRowHeight="14.4" x14ac:dyDescent="0.3"/>
  <cols>
    <col min="1" max="1" width="11.88671875" bestFit="1" customWidth="1"/>
    <col min="2" max="2" width="13.21875" bestFit="1" customWidth="1"/>
    <col min="3" max="3" width="6.88671875" bestFit="1" customWidth="1"/>
    <col min="4" max="4" width="10.88671875" bestFit="1" customWidth="1"/>
  </cols>
  <sheetData>
    <row r="1" spans="1:4" x14ac:dyDescent="0.3">
      <c r="A1" t="str">
        <f>LOWER(stocks_ws!$B1)</f>
        <v>ingredient_id</v>
      </c>
      <c r="B1" t="str">
        <f>LOWER(stocks_ws!$C1)</f>
        <v>stock_quantity</v>
      </c>
      <c r="C1" t="str">
        <f>LOWER(stocks_ws!$E1)</f>
        <v>unit_id</v>
      </c>
      <c r="D1" t="str">
        <f>LOWER(stocks_ws!$F1)</f>
        <v>is_available</v>
      </c>
    </row>
    <row r="2" spans="1:4" x14ac:dyDescent="0.3">
      <c r="A2">
        <f>stocks_ws!$B2</f>
        <v>1</v>
      </c>
      <c r="B2">
        <f>stocks_ws!$C2</f>
        <v>1</v>
      </c>
      <c r="C2">
        <f>stocks_ws!$E2</f>
        <v>7</v>
      </c>
      <c r="D2">
        <f>stocks_ws!$F2</f>
        <v>1</v>
      </c>
    </row>
    <row r="3" spans="1:4" x14ac:dyDescent="0.3">
      <c r="A3">
        <f>stocks_ws!$B3</f>
        <v>2</v>
      </c>
      <c r="B3">
        <f>stocks_ws!$C3</f>
        <v>6</v>
      </c>
      <c r="C3">
        <f>stocks_ws!$E3</f>
        <v>8</v>
      </c>
      <c r="D3">
        <f>stocks_ws!$F3</f>
        <v>1</v>
      </c>
    </row>
    <row r="4" spans="1:4" x14ac:dyDescent="0.3">
      <c r="A4">
        <f>stocks_ws!$B4</f>
        <v>3</v>
      </c>
      <c r="B4">
        <f>stocks_ws!$C4</f>
        <v>45</v>
      </c>
      <c r="C4">
        <f>stocks_ws!$E4</f>
        <v>1</v>
      </c>
      <c r="D4">
        <f>stocks_ws!$F4</f>
        <v>1</v>
      </c>
    </row>
    <row r="5" spans="1:4" x14ac:dyDescent="0.3">
      <c r="A5">
        <f>stocks_ws!$B5</f>
        <v>4</v>
      </c>
      <c r="B5">
        <f>stocks_ws!$C5</f>
        <v>2.5</v>
      </c>
      <c r="C5">
        <f>stocks_ws!$E5</f>
        <v>6</v>
      </c>
      <c r="D5">
        <f>stocks_ws!$F5</f>
        <v>1</v>
      </c>
    </row>
    <row r="6" spans="1:4" x14ac:dyDescent="0.3">
      <c r="A6">
        <f>stocks_ws!$B6</f>
        <v>5</v>
      </c>
      <c r="B6">
        <f>stocks_ws!$C6</f>
        <v>2</v>
      </c>
      <c r="C6">
        <f>stocks_ws!$E6</f>
        <v>6</v>
      </c>
      <c r="D6">
        <f>stocks_ws!$F6</f>
        <v>1</v>
      </c>
    </row>
    <row r="7" spans="1:4" x14ac:dyDescent="0.3">
      <c r="A7">
        <f>stocks_ws!$B7</f>
        <v>6</v>
      </c>
      <c r="B7">
        <f>stocks_ws!$C7</f>
        <v>2.5</v>
      </c>
      <c r="C7">
        <f>stocks_ws!$E7</f>
        <v>6</v>
      </c>
      <c r="D7">
        <f>stocks_ws!$F7</f>
        <v>1</v>
      </c>
    </row>
    <row r="8" spans="1:4" x14ac:dyDescent="0.3">
      <c r="A8">
        <f>stocks_ws!$B8</f>
        <v>7</v>
      </c>
      <c r="B8">
        <f>stocks_ws!$C8</f>
        <v>3</v>
      </c>
      <c r="C8">
        <f>stocks_ws!$E8</f>
        <v>6</v>
      </c>
      <c r="D8">
        <f>stocks_ws!$F8</f>
        <v>1</v>
      </c>
    </row>
    <row r="9" spans="1:4" x14ac:dyDescent="0.3">
      <c r="A9">
        <f>stocks_ws!$B9</f>
        <v>8</v>
      </c>
      <c r="B9">
        <f>stocks_ws!$C9</f>
        <v>90</v>
      </c>
      <c r="C9">
        <f>stocks_ws!$E9</f>
        <v>3</v>
      </c>
      <c r="D9">
        <f>stocks_ws!$F9</f>
        <v>1</v>
      </c>
    </row>
    <row r="10" spans="1:4" x14ac:dyDescent="0.3">
      <c r="A10">
        <f>stocks_ws!$B10</f>
        <v>9</v>
      </c>
      <c r="B10">
        <f>stocks_ws!$C10</f>
        <v>800</v>
      </c>
      <c r="C10">
        <f>stocks_ws!$E10</f>
        <v>1</v>
      </c>
      <c r="D10">
        <f>stocks_ws!$F10</f>
        <v>1</v>
      </c>
    </row>
    <row r="11" spans="1:4" x14ac:dyDescent="0.3">
      <c r="A11">
        <f>stocks_ws!$B11</f>
        <v>10</v>
      </c>
      <c r="B11">
        <f>stocks_ws!$C11</f>
        <v>2</v>
      </c>
      <c r="C11">
        <f>stocks_ws!$E11</f>
        <v>10</v>
      </c>
      <c r="D11">
        <f>stocks_ws!$F11</f>
        <v>1</v>
      </c>
    </row>
    <row r="12" spans="1:4" x14ac:dyDescent="0.3">
      <c r="A12">
        <f>stocks_ws!$B12</f>
        <v>11</v>
      </c>
      <c r="B12">
        <f>stocks_ws!$C12</f>
        <v>8</v>
      </c>
      <c r="C12">
        <f>stocks_ws!$E12</f>
        <v>9</v>
      </c>
      <c r="D12">
        <f>stocks_ws!$F12</f>
        <v>1</v>
      </c>
    </row>
    <row r="13" spans="1:4" x14ac:dyDescent="0.3">
      <c r="A13">
        <f>stocks_ws!$B13</f>
        <v>12</v>
      </c>
      <c r="B13">
        <f>stocks_ws!$C13</f>
        <v>3</v>
      </c>
      <c r="C13">
        <f>stocks_ws!$E13</f>
        <v>7</v>
      </c>
      <c r="D13">
        <f>stocks_ws!$F13</f>
        <v>1</v>
      </c>
    </row>
    <row r="14" spans="1:4" x14ac:dyDescent="0.3">
      <c r="A14">
        <f>stocks_ws!$B14</f>
        <v>13</v>
      </c>
      <c r="B14">
        <f>stocks_ws!$C14</f>
        <v>0.1</v>
      </c>
      <c r="C14">
        <f>stocks_ws!$E14</f>
        <v>5</v>
      </c>
      <c r="D14">
        <f>stocks_ws!$F14</f>
        <v>1</v>
      </c>
    </row>
    <row r="15" spans="1:4" x14ac:dyDescent="0.3">
      <c r="A15">
        <f>stocks_ws!$B15</f>
        <v>14</v>
      </c>
      <c r="B15">
        <f>stocks_ws!$C15</f>
        <v>0.1</v>
      </c>
      <c r="C15">
        <f>stocks_ws!$E15</f>
        <v>5</v>
      </c>
      <c r="D15">
        <f>stocks_ws!$F15</f>
        <v>1</v>
      </c>
    </row>
    <row r="16" spans="1:4" x14ac:dyDescent="0.3">
      <c r="A16">
        <f>stocks_ws!$B16</f>
        <v>15</v>
      </c>
      <c r="B16">
        <f>stocks_ws!$C16</f>
        <v>4</v>
      </c>
      <c r="C16">
        <f>stocks_ws!$E16</f>
        <v>9</v>
      </c>
      <c r="D16">
        <f>stocks_ws!$F16</f>
        <v>1</v>
      </c>
    </row>
    <row r="17" spans="1:4" x14ac:dyDescent="0.3">
      <c r="A17">
        <f>stocks_ws!$B17</f>
        <v>16</v>
      </c>
      <c r="B17">
        <f>stocks_ws!$C17</f>
        <v>15</v>
      </c>
      <c r="C17">
        <f>stocks_ws!$E17</f>
        <v>1</v>
      </c>
      <c r="D17">
        <f>stocks_ws!$F17</f>
        <v>1</v>
      </c>
    </row>
    <row r="18" spans="1:4" x14ac:dyDescent="0.3">
      <c r="A18">
        <f>stocks_ws!$B18</f>
        <v>17</v>
      </c>
      <c r="B18">
        <f>stocks_ws!$C18</f>
        <v>10</v>
      </c>
      <c r="C18">
        <f>stocks_ws!$E18</f>
        <v>1</v>
      </c>
      <c r="D18">
        <f>stocks_ws!$F18</f>
        <v>1</v>
      </c>
    </row>
    <row r="19" spans="1:4" x14ac:dyDescent="0.3">
      <c r="A19">
        <f>stocks_ws!$B19</f>
        <v>18</v>
      </c>
      <c r="B19">
        <f>stocks_ws!$C19</f>
        <v>250</v>
      </c>
      <c r="C19">
        <f>stocks_ws!$E19</f>
        <v>1</v>
      </c>
      <c r="D19">
        <f>stocks_ws!$F19</f>
        <v>1</v>
      </c>
    </row>
    <row r="20" spans="1:4" x14ac:dyDescent="0.3">
      <c r="A20">
        <f>stocks_ws!$B20</f>
        <v>19</v>
      </c>
      <c r="B20">
        <f>stocks_ws!$C20</f>
        <v>90</v>
      </c>
      <c r="C20">
        <f>stocks_ws!$E20</f>
        <v>1</v>
      </c>
      <c r="D20">
        <f>stocks_ws!$F20</f>
        <v>1</v>
      </c>
    </row>
    <row r="21" spans="1:4" x14ac:dyDescent="0.3">
      <c r="A21">
        <f>stocks_ws!$B21</f>
        <v>20</v>
      </c>
      <c r="B21">
        <f>stocks_ws!$C21</f>
        <v>3.5</v>
      </c>
      <c r="C21">
        <f>stocks_ws!$E21</f>
        <v>6</v>
      </c>
      <c r="D21">
        <f>stocks_ws!$F21</f>
        <v>1</v>
      </c>
    </row>
    <row r="22" spans="1:4" x14ac:dyDescent="0.3">
      <c r="A22">
        <f>stocks_ws!$B22</f>
        <v>21</v>
      </c>
      <c r="B22">
        <f>stocks_ws!$C22</f>
        <v>400</v>
      </c>
      <c r="C22">
        <f>stocks_ws!$E22</f>
        <v>1</v>
      </c>
      <c r="D22">
        <f>stocks_ws!$F22</f>
        <v>1</v>
      </c>
    </row>
    <row r="23" spans="1:4" x14ac:dyDescent="0.3">
      <c r="A23">
        <f>stocks_ws!$B23</f>
        <v>22</v>
      </c>
      <c r="B23">
        <f>stocks_ws!$C23</f>
        <v>50</v>
      </c>
      <c r="C23">
        <f>stocks_ws!$E23</f>
        <v>1</v>
      </c>
      <c r="D23">
        <f>stocks_ws!$F23</f>
        <v>1</v>
      </c>
    </row>
    <row r="24" spans="1:4" x14ac:dyDescent="0.3">
      <c r="A24">
        <f>stocks_ws!$B24</f>
        <v>23</v>
      </c>
      <c r="B24">
        <f>stocks_ws!$C24</f>
        <v>800</v>
      </c>
      <c r="C24">
        <f>stocks_ws!$E24</f>
        <v>3</v>
      </c>
      <c r="D24">
        <f>stocks_ws!$F24</f>
        <v>1</v>
      </c>
    </row>
    <row r="25" spans="1:4" x14ac:dyDescent="0.3">
      <c r="A25">
        <f>stocks_ws!$B25</f>
        <v>24</v>
      </c>
      <c r="B25">
        <f>stocks_ws!$C25</f>
        <v>50</v>
      </c>
      <c r="C25">
        <f>stocks_ws!$E25</f>
        <v>1</v>
      </c>
      <c r="D25">
        <f>stocks_ws!$F25</f>
        <v>1</v>
      </c>
    </row>
    <row r="26" spans="1:4" x14ac:dyDescent="0.3">
      <c r="A26">
        <f>stocks_ws!$B26</f>
        <v>25</v>
      </c>
      <c r="B26">
        <f>stocks_ws!$C26</f>
        <v>150</v>
      </c>
      <c r="C26">
        <f>stocks_ws!$E26</f>
        <v>1</v>
      </c>
      <c r="D26">
        <f>stocks_ws!$F26</f>
        <v>0</v>
      </c>
    </row>
    <row r="27" spans="1:4" x14ac:dyDescent="0.3">
      <c r="A27">
        <f>stocks_ws!$B27</f>
        <v>26</v>
      </c>
      <c r="B27">
        <f>stocks_ws!$C27</f>
        <v>40</v>
      </c>
      <c r="C27">
        <f>stocks_ws!$E27</f>
        <v>1</v>
      </c>
      <c r="D27">
        <f>stocks_ws!$F27</f>
        <v>1</v>
      </c>
    </row>
    <row r="28" spans="1:4" x14ac:dyDescent="0.3">
      <c r="A28">
        <f>stocks_ws!$B28</f>
        <v>27</v>
      </c>
      <c r="B28">
        <f>stocks_ws!$C28</f>
        <v>90</v>
      </c>
      <c r="C28">
        <f>stocks_ws!$E28</f>
        <v>1</v>
      </c>
      <c r="D28">
        <f>stocks_ws!$F28</f>
        <v>1</v>
      </c>
    </row>
    <row r="29" spans="1:4" x14ac:dyDescent="0.3">
      <c r="A29">
        <f>stocks_ws!$B29</f>
        <v>28</v>
      </c>
      <c r="B29">
        <f>stocks_ws!$C29</f>
        <v>50</v>
      </c>
      <c r="C29">
        <f>stocks_ws!$E29</f>
        <v>1</v>
      </c>
      <c r="D29">
        <f>stocks_ws!$F29</f>
        <v>1</v>
      </c>
    </row>
    <row r="30" spans="1:4" x14ac:dyDescent="0.3">
      <c r="A30">
        <f>stocks_ws!$B30</f>
        <v>29</v>
      </c>
      <c r="B30">
        <f>stocks_ws!$C30</f>
        <v>1</v>
      </c>
      <c r="C30">
        <f>stocks_ws!$E30</f>
        <v>6</v>
      </c>
      <c r="D30">
        <f>stocks_ws!$F30</f>
        <v>1</v>
      </c>
    </row>
    <row r="31" spans="1:4" x14ac:dyDescent="0.3">
      <c r="A31">
        <f>stocks_ws!$B31</f>
        <v>30</v>
      </c>
      <c r="B31">
        <f>stocks_ws!$C31</f>
        <v>800</v>
      </c>
      <c r="C31">
        <f>stocks_ws!$E31</f>
        <v>1</v>
      </c>
      <c r="D31">
        <f>stocks_ws!$F31</f>
        <v>1</v>
      </c>
    </row>
    <row r="32" spans="1:4" x14ac:dyDescent="0.3">
      <c r="A32">
        <f>stocks_ws!$B32</f>
        <v>31</v>
      </c>
      <c r="B32">
        <f>stocks_ws!$C32</f>
        <v>220</v>
      </c>
      <c r="C32">
        <f>stocks_ws!$E32</f>
        <v>1</v>
      </c>
      <c r="D32">
        <f>stocks_ws!$F32</f>
        <v>1</v>
      </c>
    </row>
    <row r="33" spans="1:4" x14ac:dyDescent="0.3">
      <c r="A33">
        <f>stocks_ws!$B33</f>
        <v>32</v>
      </c>
      <c r="B33">
        <f>stocks_ws!$C33</f>
        <v>20</v>
      </c>
      <c r="C33">
        <f>stocks_ws!$E33</f>
        <v>1</v>
      </c>
      <c r="D33">
        <f>stocks_ws!$F33</f>
        <v>1</v>
      </c>
    </row>
    <row r="34" spans="1:4" x14ac:dyDescent="0.3">
      <c r="A34">
        <f>stocks_ws!$B34</f>
        <v>33</v>
      </c>
      <c r="B34">
        <f>stocks_ws!$C34</f>
        <v>4</v>
      </c>
      <c r="C34">
        <f>stocks_ws!$E34</f>
        <v>7</v>
      </c>
      <c r="D34">
        <f>stocks_ws!$F34</f>
        <v>1</v>
      </c>
    </row>
    <row r="35" spans="1:4" x14ac:dyDescent="0.3">
      <c r="A35">
        <f>stocks_ws!$B35</f>
        <v>34</v>
      </c>
      <c r="B35">
        <f>stocks_ws!$C35</f>
        <v>1</v>
      </c>
      <c r="C35">
        <f>stocks_ws!$E35</f>
        <v>2</v>
      </c>
      <c r="D35">
        <f>stocks_ws!$F35</f>
        <v>1</v>
      </c>
    </row>
    <row r="36" spans="1:4" x14ac:dyDescent="0.3">
      <c r="A36">
        <f>stocks_ws!$B36</f>
        <v>35</v>
      </c>
      <c r="B36">
        <f>stocks_ws!$C36</f>
        <v>2</v>
      </c>
      <c r="C36">
        <f>stocks_ws!$E36</f>
        <v>5</v>
      </c>
      <c r="D36">
        <f>stocks_ws!$F36</f>
        <v>1</v>
      </c>
    </row>
    <row r="37" spans="1:4" x14ac:dyDescent="0.3">
      <c r="A37">
        <f>stocks_ws!$B37</f>
        <v>36</v>
      </c>
      <c r="B37">
        <f>stocks_ws!$C37</f>
        <v>160</v>
      </c>
      <c r="C37">
        <f>stocks_ws!$E37</f>
        <v>1</v>
      </c>
      <c r="D37">
        <f>stocks_ws!$F37</f>
        <v>1</v>
      </c>
    </row>
    <row r="38" spans="1:4" x14ac:dyDescent="0.3">
      <c r="A38">
        <f>stocks_ws!$B38</f>
        <v>37</v>
      </c>
      <c r="B38">
        <f>stocks_ws!$C38</f>
        <v>5</v>
      </c>
      <c r="C38">
        <f>stocks_ws!$E38</f>
        <v>1</v>
      </c>
      <c r="D38">
        <f>stocks_ws!$F38</f>
        <v>1</v>
      </c>
    </row>
    <row r="39" spans="1:4" x14ac:dyDescent="0.3">
      <c r="A39">
        <f>stocks_ws!$B39</f>
        <v>38</v>
      </c>
      <c r="B39">
        <f>stocks_ws!$C39</f>
        <v>5</v>
      </c>
      <c r="C39">
        <f>stocks_ws!$E39</f>
        <v>1</v>
      </c>
      <c r="D39">
        <f>stocks_ws!$F39</f>
        <v>1</v>
      </c>
    </row>
    <row r="40" spans="1:4" x14ac:dyDescent="0.3">
      <c r="A40">
        <f>stocks_ws!$B40</f>
        <v>39</v>
      </c>
      <c r="B40">
        <f>stocks_ws!$C40</f>
        <v>4</v>
      </c>
      <c r="C40">
        <f>stocks_ws!$E40</f>
        <v>6</v>
      </c>
      <c r="D40">
        <f>stocks_ws!$F40</f>
        <v>1</v>
      </c>
    </row>
    <row r="41" spans="1:4" x14ac:dyDescent="0.3">
      <c r="A41">
        <f>stocks_ws!$B41</f>
        <v>40</v>
      </c>
      <c r="B41">
        <f>stocks_ws!$C41</f>
        <v>15</v>
      </c>
      <c r="C41">
        <f>stocks_ws!$E41</f>
        <v>1</v>
      </c>
      <c r="D41">
        <f>stocks_ws!$F41</f>
        <v>1</v>
      </c>
    </row>
    <row r="42" spans="1:4" x14ac:dyDescent="0.3">
      <c r="A42">
        <f>stocks_ws!$B42</f>
        <v>41</v>
      </c>
      <c r="B42">
        <f>stocks_ws!$C42</f>
        <v>2</v>
      </c>
      <c r="C42">
        <f>stocks_ws!$E42</f>
        <v>7</v>
      </c>
      <c r="D42">
        <f>stocks_ws!$F42</f>
        <v>1</v>
      </c>
    </row>
    <row r="43" spans="1:4" x14ac:dyDescent="0.3">
      <c r="A43">
        <f>stocks_ws!$B43</f>
        <v>42</v>
      </c>
      <c r="B43">
        <f>stocks_ws!$C43</f>
        <v>2</v>
      </c>
      <c r="C43">
        <f>stocks_ws!$E43</f>
        <v>7</v>
      </c>
      <c r="D43">
        <f>stocks_ws!$F43</f>
        <v>1</v>
      </c>
    </row>
    <row r="44" spans="1:4" x14ac:dyDescent="0.3">
      <c r="A44">
        <f>stocks_ws!$B44</f>
        <v>43</v>
      </c>
      <c r="B44">
        <f>stocks_ws!$C44</f>
        <v>500</v>
      </c>
      <c r="C44">
        <f>stocks_ws!$E44</f>
        <v>1</v>
      </c>
      <c r="D44">
        <f>stocks_ws!$F44</f>
        <v>1</v>
      </c>
    </row>
    <row r="45" spans="1:4" x14ac:dyDescent="0.3">
      <c r="A45">
        <f>stocks_ws!$B45</f>
        <v>44</v>
      </c>
      <c r="B45">
        <f>stocks_ws!$C45</f>
        <v>400</v>
      </c>
      <c r="C45">
        <f>stocks_ws!$E45</f>
        <v>1</v>
      </c>
      <c r="D45">
        <f>stocks_ws!$F45</f>
        <v>1</v>
      </c>
    </row>
    <row r="46" spans="1:4" x14ac:dyDescent="0.3">
      <c r="A46">
        <f>stocks_ws!$B46</f>
        <v>45</v>
      </c>
      <c r="B46">
        <f>stocks_ws!$C46</f>
        <v>250</v>
      </c>
      <c r="C46">
        <f>stocks_ws!$E46</f>
        <v>1</v>
      </c>
      <c r="D46">
        <f>stocks_ws!$F46</f>
        <v>1</v>
      </c>
    </row>
    <row r="47" spans="1:4" x14ac:dyDescent="0.3">
      <c r="A47">
        <f>stocks_ws!$B47</f>
        <v>46</v>
      </c>
      <c r="B47">
        <f>stocks_ws!$C47</f>
        <v>5</v>
      </c>
      <c r="C47">
        <f>stocks_ws!$E47</f>
        <v>7</v>
      </c>
      <c r="D47">
        <f>stocks_ws!$F47</f>
        <v>1</v>
      </c>
    </row>
    <row r="48" spans="1:4" x14ac:dyDescent="0.3">
      <c r="A48">
        <f>stocks_ws!$B48</f>
        <v>47</v>
      </c>
      <c r="B48">
        <f>stocks_ws!$C48</f>
        <v>1</v>
      </c>
      <c r="C48">
        <f>stocks_ws!$E48</f>
        <v>6</v>
      </c>
      <c r="D48">
        <f>stocks_ws!$F48</f>
        <v>1</v>
      </c>
    </row>
    <row r="49" spans="1:4" x14ac:dyDescent="0.3">
      <c r="A49">
        <f>stocks_ws!$B49</f>
        <v>48</v>
      </c>
      <c r="B49">
        <f>stocks_ws!$C49</f>
        <v>1</v>
      </c>
      <c r="C49">
        <f>stocks_ws!$E49</f>
        <v>5</v>
      </c>
      <c r="D49">
        <f>stocks_ws!$F49</f>
        <v>1</v>
      </c>
    </row>
    <row r="50" spans="1:4" x14ac:dyDescent="0.3">
      <c r="A50">
        <f>stocks_ws!$B50</f>
        <v>49</v>
      </c>
      <c r="B50">
        <f>stocks_ws!$C50</f>
        <v>140</v>
      </c>
      <c r="C50">
        <f>stocks_ws!$E50</f>
        <v>1</v>
      </c>
      <c r="D50">
        <f>stocks_ws!$F50</f>
        <v>1</v>
      </c>
    </row>
    <row r="51" spans="1:4" x14ac:dyDescent="0.3">
      <c r="A51">
        <f>stocks_ws!$B51</f>
        <v>50</v>
      </c>
      <c r="B51">
        <f>stocks_ws!$C51</f>
        <v>150</v>
      </c>
      <c r="C51">
        <f>stocks_ws!$E51</f>
        <v>1</v>
      </c>
      <c r="D51">
        <f>stocks_ws!$F51</f>
        <v>0</v>
      </c>
    </row>
    <row r="52" spans="1:4" x14ac:dyDescent="0.3">
      <c r="A52">
        <f>stocks_ws!$B52</f>
        <v>51</v>
      </c>
      <c r="B52">
        <f>stocks_ws!$C52</f>
        <v>1</v>
      </c>
      <c r="C52">
        <f>stocks_ws!$E52</f>
        <v>5</v>
      </c>
      <c r="D52">
        <f>stocks_ws!$F52</f>
        <v>1</v>
      </c>
    </row>
    <row r="53" spans="1:4" x14ac:dyDescent="0.3">
      <c r="A53">
        <f>stocks_ws!$B53</f>
        <v>52</v>
      </c>
      <c r="B53">
        <f>stocks_ws!$C53</f>
        <v>180</v>
      </c>
      <c r="C53">
        <f>stocks_ws!$E53</f>
        <v>3</v>
      </c>
      <c r="D53">
        <f>stocks_ws!$F53</f>
        <v>1</v>
      </c>
    </row>
    <row r="54" spans="1:4" x14ac:dyDescent="0.3">
      <c r="A54">
        <f>stocks_ws!$B54</f>
        <v>53</v>
      </c>
      <c r="B54">
        <f>stocks_ws!$C54</f>
        <v>80</v>
      </c>
      <c r="C54">
        <f>stocks_ws!$E54</f>
        <v>3</v>
      </c>
      <c r="D54">
        <f>stocks_ws!$F54</f>
        <v>1</v>
      </c>
    </row>
    <row r="55" spans="1:4" x14ac:dyDescent="0.3">
      <c r="A55">
        <f>stocks_ws!$B55</f>
        <v>54</v>
      </c>
      <c r="B55">
        <f>stocks_ws!$C55</f>
        <v>375</v>
      </c>
      <c r="C55">
        <f>stocks_ws!$E55</f>
        <v>1</v>
      </c>
      <c r="D55">
        <f>stocks_ws!$F55</f>
        <v>1</v>
      </c>
    </row>
    <row r="56" spans="1:4" x14ac:dyDescent="0.3">
      <c r="A56">
        <f>stocks_ws!$B56</f>
        <v>55</v>
      </c>
      <c r="B56">
        <f>stocks_ws!$C56</f>
        <v>15</v>
      </c>
      <c r="C56">
        <f>stocks_ws!$E56</f>
        <v>1</v>
      </c>
      <c r="D56">
        <f>stocks_ws!$F56</f>
        <v>1</v>
      </c>
    </row>
    <row r="57" spans="1:4" x14ac:dyDescent="0.3">
      <c r="A57">
        <f>stocks_ws!$B57</f>
        <v>56</v>
      </c>
      <c r="B57">
        <f>stocks_ws!$C57</f>
        <v>2</v>
      </c>
      <c r="C57">
        <f>stocks_ws!$E57</f>
        <v>7</v>
      </c>
      <c r="D57">
        <f>stocks_ws!$F57</f>
        <v>1</v>
      </c>
    </row>
    <row r="58" spans="1:4" x14ac:dyDescent="0.3">
      <c r="A58">
        <f>stocks_ws!$B58</f>
        <v>57</v>
      </c>
      <c r="B58">
        <f>stocks_ws!$C58</f>
        <v>2</v>
      </c>
      <c r="C58">
        <f>stocks_ws!$E58</f>
        <v>7</v>
      </c>
      <c r="D58">
        <f>stocks_ws!$F58</f>
        <v>1</v>
      </c>
    </row>
    <row r="59" spans="1:4" x14ac:dyDescent="0.3">
      <c r="A59">
        <f>stocks_ws!$B59</f>
        <v>58</v>
      </c>
      <c r="B59">
        <f>stocks_ws!$C59</f>
        <v>4</v>
      </c>
      <c r="C59">
        <f>stocks_ws!$E59</f>
        <v>7</v>
      </c>
      <c r="D59">
        <f>stocks_ws!$F59</f>
        <v>1</v>
      </c>
    </row>
    <row r="60" spans="1:4" x14ac:dyDescent="0.3">
      <c r="A60">
        <f>stocks_ws!$B60</f>
        <v>59</v>
      </c>
      <c r="B60">
        <f>stocks_ws!$C60</f>
        <v>1</v>
      </c>
      <c r="C60">
        <f>stocks_ws!$E60</f>
        <v>7</v>
      </c>
      <c r="D60">
        <f>stocks_ws!$F60</f>
        <v>1</v>
      </c>
    </row>
    <row r="61" spans="1:4" x14ac:dyDescent="0.3">
      <c r="A61">
        <f>stocks_ws!$B61</f>
        <v>60</v>
      </c>
      <c r="B61">
        <f>stocks_ws!$C61</f>
        <v>1</v>
      </c>
      <c r="C61">
        <f>stocks_ws!$E61</f>
        <v>6</v>
      </c>
      <c r="D61">
        <f>stocks_ws!$F61</f>
        <v>1</v>
      </c>
    </row>
    <row r="62" spans="1:4" x14ac:dyDescent="0.3">
      <c r="A62">
        <f>stocks_ws!$B62</f>
        <v>61</v>
      </c>
      <c r="B62">
        <f>stocks_ws!$C62</f>
        <v>3</v>
      </c>
      <c r="C62">
        <f>stocks_ws!$E62</f>
        <v>6</v>
      </c>
      <c r="D62">
        <f>stocks_ws!$F62</f>
        <v>1</v>
      </c>
    </row>
    <row r="63" spans="1:4" x14ac:dyDescent="0.3">
      <c r="A63">
        <f>stocks_ws!$B63</f>
        <v>62</v>
      </c>
      <c r="B63">
        <f>stocks_ws!$C63</f>
        <v>2</v>
      </c>
      <c r="C63">
        <f>stocks_ws!$E63</f>
        <v>6</v>
      </c>
      <c r="D63">
        <f>stocks_ws!$F63</f>
        <v>0</v>
      </c>
    </row>
    <row r="64" spans="1:4" x14ac:dyDescent="0.3">
      <c r="A64">
        <f>stocks_ws!$B64</f>
        <v>63</v>
      </c>
      <c r="B64">
        <f>stocks_ws!$C64</f>
        <v>1.3</v>
      </c>
      <c r="C64">
        <f>stocks_ws!$E64</f>
        <v>2</v>
      </c>
      <c r="D64">
        <f>stocks_ws!$F64</f>
        <v>1</v>
      </c>
    </row>
    <row r="65" spans="1:4" x14ac:dyDescent="0.3">
      <c r="A65">
        <f>stocks_ws!$B65</f>
        <v>64</v>
      </c>
      <c r="B65">
        <f>stocks_ws!$C65</f>
        <v>500</v>
      </c>
      <c r="C65">
        <f>stocks_ws!$E65</f>
        <v>3</v>
      </c>
      <c r="D65">
        <f>stocks_ws!$F65</f>
        <v>1</v>
      </c>
    </row>
    <row r="66" spans="1:4" x14ac:dyDescent="0.3">
      <c r="A66">
        <f>stocks_ws!$B66</f>
        <v>65</v>
      </c>
      <c r="B66">
        <f>stocks_ws!$C66</f>
        <v>2</v>
      </c>
      <c r="C66">
        <f>stocks_ws!$E66</f>
        <v>6</v>
      </c>
      <c r="D66">
        <f>stocks_ws!$F66</f>
        <v>1</v>
      </c>
    </row>
    <row r="67" spans="1:4" x14ac:dyDescent="0.3">
      <c r="A67">
        <f>stocks_ws!$B67</f>
        <v>66</v>
      </c>
      <c r="B67">
        <f>stocks_ws!$C67</f>
        <v>400</v>
      </c>
      <c r="C67">
        <f>stocks_ws!$E67</f>
        <v>1</v>
      </c>
      <c r="D67">
        <f>stocks_ws!$F67</f>
        <v>1</v>
      </c>
    </row>
    <row r="68" spans="1:4" x14ac:dyDescent="0.3">
      <c r="A68">
        <f>stocks_ws!$B68</f>
        <v>67</v>
      </c>
      <c r="B68">
        <f>stocks_ws!$C68</f>
        <v>20</v>
      </c>
      <c r="C68">
        <f>stocks_ws!$E68</f>
        <v>1</v>
      </c>
      <c r="D68">
        <f>stocks_ws!$F68</f>
        <v>1</v>
      </c>
    </row>
    <row r="69" spans="1:4" x14ac:dyDescent="0.3">
      <c r="A69">
        <f>stocks_ws!$B69</f>
        <v>68</v>
      </c>
      <c r="B69">
        <f>stocks_ws!$C69</f>
        <v>10</v>
      </c>
      <c r="C69">
        <f>stocks_ws!$E69</f>
        <v>1</v>
      </c>
      <c r="D69">
        <f>stocks_ws!$F69</f>
        <v>1</v>
      </c>
    </row>
    <row r="70" spans="1:4" x14ac:dyDescent="0.3">
      <c r="A70">
        <f>stocks_ws!$B70</f>
        <v>69</v>
      </c>
      <c r="B70">
        <f>stocks_ws!$C70</f>
        <v>5</v>
      </c>
      <c r="C70">
        <f>stocks_ws!$E70</f>
        <v>1</v>
      </c>
      <c r="D70">
        <f>stocks_ws!$F70</f>
        <v>1</v>
      </c>
    </row>
    <row r="71" spans="1:4" x14ac:dyDescent="0.3">
      <c r="A71">
        <f>stocks_ws!$B71</f>
        <v>70</v>
      </c>
      <c r="B71">
        <f>stocks_ws!$C71</f>
        <v>5</v>
      </c>
      <c r="C71">
        <f>stocks_ws!$E71</f>
        <v>1</v>
      </c>
      <c r="D71">
        <f>stocks_ws!$F71</f>
        <v>1</v>
      </c>
    </row>
    <row r="72" spans="1:4" x14ac:dyDescent="0.3">
      <c r="A72">
        <f>stocks_ws!$B72</f>
        <v>71</v>
      </c>
      <c r="B72">
        <f>stocks_ws!$C72</f>
        <v>4</v>
      </c>
      <c r="C72">
        <f>stocks_ws!$E72</f>
        <v>7</v>
      </c>
      <c r="D72">
        <f>stocks_ws!$F72</f>
        <v>1</v>
      </c>
    </row>
    <row r="73" spans="1:4" x14ac:dyDescent="0.3">
      <c r="A73">
        <f>stocks_ws!$B73</f>
        <v>72</v>
      </c>
      <c r="B73">
        <f>stocks_ws!$C73</f>
        <v>3</v>
      </c>
      <c r="C73">
        <f>stocks_ws!$E73</f>
        <v>5</v>
      </c>
      <c r="D73">
        <f>stocks_ws!$F73</f>
        <v>1</v>
      </c>
    </row>
    <row r="74" spans="1:4" x14ac:dyDescent="0.3">
      <c r="A74">
        <f>stocks_ws!$B74</f>
        <v>73</v>
      </c>
      <c r="B74">
        <f>stocks_ws!$C74</f>
        <v>3</v>
      </c>
      <c r="C74">
        <f>stocks_ws!$E74</f>
        <v>5</v>
      </c>
      <c r="D74">
        <f>stocks_ws!$F74</f>
        <v>1</v>
      </c>
    </row>
    <row r="75" spans="1:4" x14ac:dyDescent="0.3">
      <c r="A75">
        <f>stocks_ws!$B75</f>
        <v>74</v>
      </c>
      <c r="B75">
        <f>stocks_ws!$C75</f>
        <v>0.1</v>
      </c>
      <c r="C75">
        <f>stocks_ws!$E75</f>
        <v>5</v>
      </c>
      <c r="D75">
        <f>stocks_ws!$F75</f>
        <v>1</v>
      </c>
    </row>
    <row r="76" spans="1:4" x14ac:dyDescent="0.3">
      <c r="A76">
        <f>stocks_ws!$B76</f>
        <v>75</v>
      </c>
      <c r="B76">
        <f>stocks_ws!$C76</f>
        <v>25</v>
      </c>
      <c r="C76">
        <f>stocks_ws!$E76</f>
        <v>1</v>
      </c>
      <c r="D76">
        <f>stocks_ws!$F76</f>
        <v>1</v>
      </c>
    </row>
    <row r="77" spans="1:4" x14ac:dyDescent="0.3">
      <c r="A77">
        <f>stocks_ws!$B77</f>
        <v>76</v>
      </c>
      <c r="B77">
        <f>stocks_ws!$C77</f>
        <v>110</v>
      </c>
      <c r="C77">
        <f>stocks_ws!$E77</f>
        <v>1</v>
      </c>
      <c r="D77">
        <f>stocks_ws!$F77</f>
        <v>1</v>
      </c>
    </row>
    <row r="78" spans="1:4" x14ac:dyDescent="0.3">
      <c r="A78">
        <f>stocks_ws!$B78</f>
        <v>77</v>
      </c>
      <c r="B78">
        <f>stocks_ws!$C78</f>
        <v>2</v>
      </c>
      <c r="C78">
        <f>stocks_ws!$E78</f>
        <v>7</v>
      </c>
      <c r="D78">
        <f>stocks_ws!$F78</f>
        <v>1</v>
      </c>
    </row>
    <row r="79" spans="1:4" x14ac:dyDescent="0.3">
      <c r="A79">
        <f>stocks_ws!$B79</f>
        <v>78</v>
      </c>
      <c r="B79">
        <f>stocks_ws!$C79</f>
        <v>1</v>
      </c>
      <c r="C79">
        <f>stocks_ws!$E79</f>
        <v>7</v>
      </c>
      <c r="D79">
        <f>stocks_ws!$F79</f>
        <v>1</v>
      </c>
    </row>
    <row r="80" spans="1:4" x14ac:dyDescent="0.3">
      <c r="A80">
        <f>stocks_ws!$B80</f>
        <v>79</v>
      </c>
      <c r="B80">
        <f>stocks_ws!$C80</f>
        <v>2</v>
      </c>
      <c r="C80">
        <f>stocks_ws!$E80</f>
        <v>7</v>
      </c>
      <c r="D80">
        <f>stocks_ws!$F80</f>
        <v>1</v>
      </c>
    </row>
    <row r="81" spans="1:4" x14ac:dyDescent="0.3">
      <c r="A81">
        <f>stocks_ws!$B81</f>
        <v>80</v>
      </c>
      <c r="B81">
        <f>stocks_ws!$C81</f>
        <v>2</v>
      </c>
      <c r="C81">
        <f>stocks_ws!$E81</f>
        <v>4</v>
      </c>
      <c r="D81">
        <f>stocks_ws!$F81</f>
        <v>1</v>
      </c>
    </row>
    <row r="82" spans="1:4" x14ac:dyDescent="0.3">
      <c r="A82">
        <f>stocks_ws!$B82</f>
        <v>81</v>
      </c>
      <c r="B82">
        <f>stocks_ws!$C82</f>
        <v>225</v>
      </c>
      <c r="C82">
        <f>stocks_ws!$E82</f>
        <v>1</v>
      </c>
      <c r="D82">
        <f>stocks_ws!$F82</f>
        <v>1</v>
      </c>
    </row>
    <row r="83" spans="1:4" x14ac:dyDescent="0.3">
      <c r="A83">
        <f>stocks_ws!$B83</f>
        <v>82</v>
      </c>
      <c r="B83">
        <f>stocks_ws!$C83</f>
        <v>75</v>
      </c>
      <c r="C83">
        <f>stocks_ws!$E83</f>
        <v>3</v>
      </c>
      <c r="D83">
        <f>stocks_ws!$F83</f>
        <v>1</v>
      </c>
    </row>
    <row r="84" spans="1:4" x14ac:dyDescent="0.3">
      <c r="A84">
        <f>stocks_ws!$B84</f>
        <v>83</v>
      </c>
      <c r="B84">
        <f>stocks_ws!$C84</f>
        <v>75</v>
      </c>
      <c r="C84">
        <f>stocks_ws!$E84</f>
        <v>3</v>
      </c>
      <c r="D84">
        <f>stocks_ws!$F84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Main</vt:lpstr>
      <vt:lpstr>others</vt:lpstr>
      <vt:lpstr>cookbook_ws</vt:lpstr>
      <vt:lpstr>ingredients_ws</vt:lpstr>
      <vt:lpstr>recipes_ws</vt:lpstr>
      <vt:lpstr>recipes_ingredients_ws</vt:lpstr>
      <vt:lpstr>stocks_ws</vt:lpstr>
      <vt:lpstr>cookbook_table</vt:lpstr>
      <vt:lpstr>ingredients_types_table</vt:lpstr>
      <vt:lpstr>units_table</vt:lpstr>
      <vt:lpstr>ingredients_table</vt:lpstr>
      <vt:lpstr>recipes_table</vt:lpstr>
      <vt:lpstr>recipes_ingredients_table</vt:lpstr>
      <vt:lpstr>stocks_table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Chika Etheridge</dc:creator>
  <cp:lastModifiedBy>Chika Etheridge</cp:lastModifiedBy>
  <cp:lastPrinted>2026-04-18T19:53:50Z</cp:lastPrinted>
  <dcterms:created xsi:type="dcterms:W3CDTF">2026-04-14T20:21:18Z</dcterms:created>
  <dcterms:modified xsi:type="dcterms:W3CDTF">2026-04-19T16:27:48Z</dcterms:modified>
</cp:coreProperties>
</file>